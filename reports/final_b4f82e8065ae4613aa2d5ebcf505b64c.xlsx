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435" tabRatio="600" firstSheet="0" autoFilterDateGrouping="1"/>
  </bookViews>
  <sheets>
    <sheet xmlns:r="http://schemas.openxmlformats.org/officeDocument/2006/relationships" name="2026-02-09 - 2026-02-15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9">
    <font>
      <name val="Calibri"/>
      <color theme="1"/>
      <sz val="11"/>
      <scheme val="minor"/>
    </font>
    <font>
      <name val="Calibri"/>
      <color theme="1"/>
      <sz val="11"/>
      <scheme val="minor"/>
    </font>
    <font>
      <name val="&quot;Google Sans Mono&quot;"/>
      <color rgb="FF000000"/>
      <sz val="9"/>
    </font>
    <font>
      <name val="&quot;Google Sans Mono&quot;"/>
      <color rgb="FF7E3794"/>
      <sz val="9"/>
    </font>
    <font>
      <name val="Calibri"/>
      <color theme="1"/>
      <sz val="11"/>
    </font>
    <font>
      <name val="Calibri"/>
      <color rgb="FF000000"/>
      <sz val="11"/>
    </font>
    <font>
      <name val="Calibri"/>
      <b val="1"/>
      <color theme="1"/>
      <sz val="11"/>
    </font>
    <font>
      <name val="Calibri"/>
      <b val="1"/>
      <color theme="1"/>
      <sz val="10"/>
    </font>
    <font>
      <name val="&quot;Google Sans&quot;"/>
      <b val="1"/>
      <color rgb="FF222222"/>
      <sz val="11"/>
    </font>
  </fonts>
  <fills count="1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DEEAF6"/>
        <bgColor rgb="FFDEEAF6"/>
      </patternFill>
    </fill>
    <fill>
      <patternFill patternType="solid">
        <fgColor rgb="FFDEEBF7"/>
        <bgColor rgb="FFDEEBF7"/>
      </patternFill>
    </fill>
    <fill>
      <patternFill patternType="solid">
        <fgColor rgb="FFFEF2CB"/>
        <bgColor rgb="FFFEF2CB"/>
      </patternFill>
    </fill>
    <fill>
      <patternFill patternType="solid">
        <fgColor rgb="FFFFF2CC"/>
        <bgColor rgb="FFFFF2CC"/>
      </patternFill>
    </fill>
    <fill>
      <patternFill patternType="solid">
        <fgColor rgb="FFFBE4D5"/>
        <bgColor rgb="FFFBE4D5"/>
      </patternFill>
    </fill>
    <fill>
      <patternFill patternType="solid">
        <fgColor rgb="FFFBE5D6"/>
        <bgColor rgb="FFFBE5D6"/>
      </patternFill>
    </fill>
    <fill>
      <patternFill patternType="solid">
        <fgColor rgb="FFB6D7A8"/>
        <bgColor rgb="FFB6D7A8"/>
      </patternFill>
    </fill>
    <fill>
      <patternFill patternType="solid">
        <fgColor rgb="FFE2EFD9"/>
        <bgColor rgb="FFE2EFD9"/>
      </patternFill>
    </fill>
    <fill>
      <patternFill patternType="solid">
        <fgColor rgb="FFE2F0D9"/>
        <bgColor rgb="FFE2F0D9"/>
      </patternFill>
    </fill>
    <fill>
      <patternFill patternType="solid">
        <fgColor rgb="FFFDE9D9"/>
        <bgColor rgb="FFFDE9D9"/>
      </patternFill>
    </fill>
    <fill>
      <patternFill patternType="solid">
        <fgColor rgb="FFD8E5F8"/>
        <bgColor rgb="FFD8E5F8"/>
      </patternFill>
    </fill>
  </fills>
  <borders count="8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1" fillId="0" borderId="0"/>
  </cellStyleXfs>
  <cellXfs count="52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2" borderId="0" pivotButton="0" quotePrefix="0" xfId="0"/>
    <xf numFmtId="9" fontId="4" fillId="0" borderId="1" pivotButton="0" quotePrefix="0" xfId="0"/>
    <xf numFmtId="9" fontId="4" fillId="0" borderId="2" pivotButton="0" quotePrefix="0" xfId="0"/>
    <xf numFmtId="0" fontId="5" fillId="3" borderId="2" applyAlignment="1" pivotButton="0" quotePrefix="0" xfId="0">
      <alignment horizontal="right"/>
    </xf>
    <xf numFmtId="9" fontId="4" fillId="4" borderId="2" pivotButton="0" quotePrefix="0" xfId="0"/>
    <xf numFmtId="9" fontId="4" fillId="6" borderId="2" pivotButton="0" quotePrefix="0" xfId="0"/>
    <xf numFmtId="9" fontId="4" fillId="8" borderId="2" pivotButton="0" quotePrefix="0" xfId="0"/>
    <xf numFmtId="9" fontId="6" fillId="10" borderId="2" pivotButton="0" quotePrefix="0" xfId="0"/>
    <xf numFmtId="9" fontId="4" fillId="11" borderId="2" pivotButton="0" quotePrefix="0" xfId="0"/>
    <xf numFmtId="0" fontId="4" fillId="0" borderId="2" pivotButton="0" quotePrefix="0" xfId="0"/>
    <xf numFmtId="0" fontId="5" fillId="0" borderId="2" applyAlignment="1" pivotButton="0" quotePrefix="0" xfId="0">
      <alignment horizontal="right"/>
    </xf>
    <xf numFmtId="0" fontId="4" fillId="0" borderId="2" applyAlignment="1" pivotButton="0" quotePrefix="0" xfId="0">
      <alignment horizontal="center"/>
    </xf>
    <xf numFmtId="0" fontId="4" fillId="3" borderId="2" applyAlignment="1" pivotButton="0" quotePrefix="0" xfId="0">
      <alignment horizontal="center"/>
    </xf>
    <xf numFmtId="0" fontId="4" fillId="4" borderId="2" applyAlignment="1" pivotButton="0" quotePrefix="0" xfId="0">
      <alignment horizontal="center" wrapText="1"/>
    </xf>
    <xf numFmtId="0" fontId="4" fillId="6" borderId="2" applyAlignment="1" pivotButton="0" quotePrefix="0" xfId="0">
      <alignment horizontal="center" wrapText="1"/>
    </xf>
    <xf numFmtId="0" fontId="4" fillId="8" borderId="2" applyAlignment="1" pivotButton="0" quotePrefix="0" xfId="0">
      <alignment horizontal="center" wrapText="1"/>
    </xf>
    <xf numFmtId="0" fontId="6" fillId="10" borderId="2" applyAlignment="1" pivotButton="0" quotePrefix="0" xfId="0">
      <alignment horizontal="center" wrapText="1"/>
    </xf>
    <xf numFmtId="0" fontId="4" fillId="11" borderId="2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6" fillId="0" borderId="0" pivotButton="0" quotePrefix="0" xfId="0"/>
    <xf numFmtId="0" fontId="6" fillId="0" borderId="2" applyAlignment="1" pivotButton="0" quotePrefix="0" xfId="0">
      <alignment horizontal="center"/>
    </xf>
    <xf numFmtId="0" fontId="6" fillId="0" borderId="2" pivotButton="0" quotePrefix="0" xfId="0"/>
    <xf numFmtId="0" fontId="4" fillId="0" borderId="2" applyAlignment="1" pivotButton="0" quotePrefix="0" xfId="0">
      <alignment horizontal="right"/>
    </xf>
    <xf numFmtId="0" fontId="1" fillId="0" borderId="0" applyAlignment="1" pivotButton="0" quotePrefix="0" xfId="0">
      <alignment horizontal="right"/>
    </xf>
    <xf numFmtId="0" fontId="5" fillId="13" borderId="3" applyAlignment="1" pivotButton="0" quotePrefix="0" xfId="0">
      <alignment horizontal="right"/>
    </xf>
    <xf numFmtId="0" fontId="5" fillId="13" borderId="4" applyAlignment="1" pivotButton="0" quotePrefix="0" xfId="0">
      <alignment horizontal="right"/>
    </xf>
    <xf numFmtId="10" fontId="5" fillId="3" borderId="2" applyAlignment="1" pivotButton="0" quotePrefix="0" xfId="0">
      <alignment horizontal="right"/>
    </xf>
    <xf numFmtId="0" fontId="5" fillId="5" borderId="2" applyAlignment="1" pivotButton="0" quotePrefix="0" xfId="0">
      <alignment horizontal="right"/>
    </xf>
    <xf numFmtId="0" fontId="5" fillId="7" borderId="2" applyAlignment="1" pivotButton="0" quotePrefix="0" xfId="0">
      <alignment horizontal="right"/>
    </xf>
    <xf numFmtId="0" fontId="5" fillId="9" borderId="2" applyAlignment="1" pivotButton="0" quotePrefix="0" xfId="0">
      <alignment horizontal="right"/>
    </xf>
    <xf numFmtId="0" fontId="5" fillId="12" borderId="2" applyAlignment="1" pivotButton="0" quotePrefix="0" xfId="0">
      <alignment horizontal="right"/>
    </xf>
    <xf numFmtId="0" fontId="5" fillId="13" borderId="5" applyAlignment="1" pivotButton="0" quotePrefix="0" xfId="0">
      <alignment horizontal="right"/>
    </xf>
    <xf numFmtId="0" fontId="5" fillId="13" borderId="2" applyAlignment="1" pivotButton="0" quotePrefix="0" xfId="0">
      <alignment horizontal="right"/>
    </xf>
    <xf numFmtId="9" fontId="4" fillId="11" borderId="2" applyAlignment="1" pivotButton="0" quotePrefix="0" xfId="0">
      <alignment horizontal="right"/>
    </xf>
    <xf numFmtId="0" fontId="4" fillId="0" borderId="2" applyAlignment="1" pivotButton="0" quotePrefix="0" xfId="0">
      <alignment horizontal="right" wrapText="1"/>
    </xf>
    <xf numFmtId="0" fontId="7" fillId="0" borderId="2" pivotButton="0" quotePrefix="0" xfId="0"/>
    <xf numFmtId="0" fontId="7" fillId="10" borderId="2" applyAlignment="1" pivotButton="0" quotePrefix="0" xfId="0">
      <alignment horizontal="center" wrapText="1"/>
    </xf>
    <xf numFmtId="0" fontId="7" fillId="0" borderId="2" applyAlignment="1" pivotButton="0" quotePrefix="0" xfId="0">
      <alignment horizontal="right" wrapText="1"/>
    </xf>
    <xf numFmtId="0" fontId="5" fillId="0" borderId="3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8" fillId="14" borderId="0" pivotButton="0" quotePrefix="0" xfId="0"/>
    <xf numFmtId="0" fontId="7" fillId="0" borderId="2" applyAlignment="1" pivotButton="0" quotePrefix="0" xfId="0">
      <alignment horizontal="center" wrapText="1"/>
    </xf>
    <xf numFmtId="0" fontId="7" fillId="11" borderId="2" applyAlignment="1" pivotButton="0" quotePrefix="0" xfId="0">
      <alignment horizontal="center" wrapText="1"/>
    </xf>
    <xf numFmtId="0" fontId="0" fillId="0" borderId="5" pivotButton="0" quotePrefix="0" xfId="0"/>
    <xf numFmtId="0" fontId="7" fillId="4" borderId="2" applyAlignment="1" pivotButton="0" quotePrefix="0" xfId="0">
      <alignment horizontal="center" wrapText="1"/>
    </xf>
    <xf numFmtId="0" fontId="7" fillId="3" borderId="2" applyAlignment="1" pivotButton="0" quotePrefix="0" xfId="0">
      <alignment horizontal="center" wrapText="1"/>
    </xf>
    <xf numFmtId="0" fontId="7" fillId="0" borderId="2" applyAlignment="1" pivotButton="0" quotePrefix="0" xfId="0">
      <alignment horizontal="center" wrapText="1"/>
    </xf>
    <xf numFmtId="0" fontId="7" fillId="6" borderId="2" applyAlignment="1" pivotButton="0" quotePrefix="0" xfId="0">
      <alignment horizontal="center" wrapText="1"/>
    </xf>
    <xf numFmtId="0" fontId="7" fillId="8" borderId="2" applyAlignment="1" pivotButton="0" quotePrefix="0" xfId="0">
      <alignment horizontal="center" wrapText="1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000"/>
  <sheetViews>
    <sheetView workbookViewId="0">
      <selection activeCell="A1" sqref="A1"/>
    </sheetView>
  </sheetViews>
  <sheetFormatPr baseColWidth="8" defaultColWidth="14.42578125" defaultRowHeight="15" customHeight="1"/>
  <cols>
    <col width="3.42578125" customWidth="1" min="1" max="1"/>
    <col width="46.7109375" customWidth="1" min="2" max="2"/>
    <col width="10.140625" customWidth="1" min="3" max="3"/>
    <col width="9.140625" customWidth="1" min="4" max="4"/>
    <col width="7" customWidth="1" min="5" max="5"/>
    <col width="6.85546875" customWidth="1" min="6" max="6"/>
    <col width="7.5703125" customWidth="1" min="7" max="7"/>
    <col width="12.28515625" customWidth="1" min="8" max="8"/>
    <col width="7.28515625" customWidth="1" min="9" max="9"/>
    <col width="6.28515625" customWidth="1" min="10" max="10"/>
    <col width="7" customWidth="1" min="11" max="11"/>
    <col width="6.7109375" customWidth="1" min="12" max="13"/>
    <col width="6.85546875" customWidth="1" min="14" max="14"/>
    <col width="7.28515625" customWidth="1" min="15" max="15"/>
    <col width="7.140625" customWidth="1" min="16" max="16"/>
    <col width="10.42578125" customWidth="1" min="17" max="18"/>
    <col width="10" customWidth="1" min="19" max="19"/>
    <col width="10.28515625" customWidth="1" min="20" max="20"/>
    <col width="11.28515625" customWidth="1" min="21" max="21"/>
    <col width="11.42578125" customWidth="1" min="22" max="22"/>
    <col width="12.42578125" customWidth="1" min="23" max="23"/>
    <col width="35.5703125" customWidth="1" min="24" max="24"/>
    <col width="8.7109375" customWidth="1" min="25" max="32"/>
  </cols>
  <sheetData>
    <row r="1" ht="15.75" customHeight="1">
      <c r="A1" s="12" t="n"/>
      <c r="B1" s="25" t="inlineStr">
        <is>
          <t>Отчетная неделя:</t>
        </is>
      </c>
      <c r="C1" s="43" t="inlineStr">
        <is>
          <t>2026-02-09 - 2026-02-15</t>
        </is>
      </c>
      <c r="D1" s="42" t="n"/>
      <c r="E1" s="42" t="n"/>
      <c r="F1" s="41" t="n"/>
      <c r="G1" s="12" t="n"/>
      <c r="H1" s="12" t="n"/>
      <c r="I1" s="12" t="n"/>
      <c r="J1" s="12" t="n"/>
      <c r="K1" s="12" t="n"/>
      <c r="L1" s="12" t="n"/>
      <c r="M1" s="12" t="n"/>
      <c r="N1" s="12" t="n"/>
      <c r="O1" s="12" t="n"/>
      <c r="P1" s="12" t="n"/>
      <c r="Q1" s="12" t="n"/>
      <c r="R1" s="12" t="n"/>
      <c r="S1" s="12" t="n"/>
      <c r="T1" s="12" t="n"/>
      <c r="U1" s="12" t="n"/>
      <c r="V1" s="12" t="n"/>
      <c r="W1" s="12" t="n"/>
      <c r="X1" s="12" t="n"/>
    </row>
    <row r="2" ht="116.25" customHeight="1">
      <c r="A2" s="24" t="inlineStr">
        <is>
          <t>№</t>
        </is>
      </c>
      <c r="B2" s="23" t="inlineStr">
        <is>
          <t>Наименование МО</t>
        </is>
      </c>
      <c r="C2" s="40" t="inlineStr">
        <is>
          <t>Количество попыток записаться через ЕПГУ</t>
        </is>
      </c>
      <c r="D2" s="49" t="inlineStr">
        <is>
          <t>Черновики</t>
        </is>
      </c>
      <c r="E2" s="46" t="n"/>
      <c r="F2" s="45" t="inlineStr">
        <is>
          <t>Успешные записи</t>
        </is>
      </c>
      <c r="G2" s="46" t="n"/>
      <c r="H2" s="39" t="inlineStr">
        <is>
          <t>Успешные записи без учёта черновиков и фед. ошибок</t>
        </is>
      </c>
      <c r="I2" s="51" t="inlineStr">
        <is>
          <t>Ошибки все</t>
        </is>
      </c>
      <c r="J2" s="46" t="n"/>
      <c r="K2" s="50" t="inlineStr">
        <is>
          <t>Орг. ошибки</t>
        </is>
      </c>
      <c r="L2" s="46" t="n"/>
      <c r="M2" s="47" t="inlineStr">
        <is>
          <t>Тех. Ошибки</t>
        </is>
      </c>
      <c r="N2" s="46" t="n"/>
      <c r="O2" s="48" t="inlineStr">
        <is>
          <t>Ошибки фед. уровня</t>
        </is>
      </c>
      <c r="P2" s="46" t="n"/>
      <c r="Q2" s="49" t="inlineStr">
        <is>
          <t>Выложено на ЕПГУ
(конкурентные)</t>
        </is>
      </c>
      <c r="R2" s="49" t="inlineStr">
        <is>
          <t>Общее количество талонов</t>
        </is>
      </c>
      <c r="S2" s="49" t="inlineStr">
        <is>
          <t>Общее количество талонов (все интервалы)</t>
        </is>
      </c>
      <c r="T2" s="49" t="inlineStr">
        <is>
          <t>% выложенных на ЕПГУ
(конкурентных)</t>
        </is>
      </c>
      <c r="U2" s="49" t="inlineStr">
        <is>
          <t>Целевое количество слотов из сводов МИАЦ</t>
        </is>
      </c>
      <c r="V2" s="49" t="inlineStr">
        <is>
          <t>Целевое количество конкурентных слотов из сводов МИАЦ</t>
        </is>
      </c>
      <c r="W2" s="49" t="inlineStr">
        <is>
          <t>% фактических конкурентных от целевых</t>
        </is>
      </c>
      <c r="X2" s="38" t="inlineStr">
        <is>
          <t>Примечание по настройкам в МИС</t>
        </is>
      </c>
      <c r="Y2" s="22" t="n"/>
      <c r="Z2" s="22" t="n"/>
      <c r="AA2" s="22" t="n"/>
      <c r="AB2" s="22" t="n"/>
      <c r="AC2" s="22" t="n"/>
      <c r="AD2" s="22" t="n"/>
      <c r="AE2" s="22" t="n"/>
      <c r="AF2" s="22" t="n"/>
    </row>
    <row r="3" ht="28.5" customHeight="1">
      <c r="A3" s="12" t="n"/>
      <c r="B3" s="12" t="n"/>
      <c r="C3" s="37" t="inlineStr">
        <is>
          <t>кол-во</t>
        </is>
      </c>
      <c r="D3" s="21" t="inlineStr">
        <is>
          <t>кол-во</t>
        </is>
      </c>
      <c r="E3" s="21" t="inlineStr">
        <is>
          <t>%</t>
        </is>
      </c>
      <c r="F3" s="20" t="inlineStr">
        <is>
          <t>кол-во</t>
        </is>
      </c>
      <c r="G3" s="20" t="inlineStr">
        <is>
          <t>%</t>
        </is>
      </c>
      <c r="H3" s="19" t="inlineStr">
        <is>
          <t>%</t>
        </is>
      </c>
      <c r="I3" s="18" t="inlineStr">
        <is>
          <t>кол-во</t>
        </is>
      </c>
      <c r="J3" s="18" t="inlineStr">
        <is>
          <t>%</t>
        </is>
      </c>
      <c r="K3" s="17" t="inlineStr">
        <is>
          <t>кол-во</t>
        </is>
      </c>
      <c r="L3" s="17" t="inlineStr">
        <is>
          <t>%</t>
        </is>
      </c>
      <c r="M3" s="16" t="inlineStr">
        <is>
          <t>кол-во</t>
        </is>
      </c>
      <c r="N3" s="16" t="inlineStr">
        <is>
          <t>%</t>
        </is>
      </c>
      <c r="O3" s="15" t="inlineStr">
        <is>
          <t>кол-во</t>
        </is>
      </c>
      <c r="P3" s="15" t="inlineStr">
        <is>
          <t>%</t>
        </is>
      </c>
      <c r="Q3" s="14" t="inlineStr">
        <is>
          <t>кол-во</t>
        </is>
      </c>
      <c r="R3" s="14" t="inlineStr">
        <is>
          <t>кол-во</t>
        </is>
      </c>
      <c r="S3" s="14" t="inlineStr">
        <is>
          <t>кол-во</t>
        </is>
      </c>
      <c r="T3" s="14" t="inlineStr">
        <is>
          <t>%</t>
        </is>
      </c>
      <c r="U3" s="14" t="inlineStr">
        <is>
          <t>кол-во</t>
        </is>
      </c>
      <c r="V3" s="14" t="inlineStr">
        <is>
          <t>кол-во</t>
        </is>
      </c>
      <c r="W3" s="14" t="inlineStr">
        <is>
          <t>%</t>
        </is>
      </c>
      <c r="X3" s="12" t="n"/>
    </row>
    <row r="4">
      <c r="A4" s="12" t="n">
        <v>1</v>
      </c>
      <c r="B4" s="12" t="inlineStr">
        <is>
          <t>ГБУЗ «ОКБ № 2»</t>
        </is>
      </c>
      <c r="C4" s="13" t="n">
        <v>5680</v>
      </c>
      <c r="D4" s="13" t="n">
        <v>3111</v>
      </c>
      <c r="E4" s="5">
        <f>D4/C4</f>
        <v/>
      </c>
      <c r="F4" s="33" t="n">
        <v>2049</v>
      </c>
      <c r="G4" s="36">
        <f>F4/C4</f>
        <v/>
      </c>
      <c r="H4" s="10">
        <f>IF(F4&lt;&gt;0,F4/(F4+K4+M4),0)</f>
        <v/>
      </c>
      <c r="I4" s="32" t="n">
        <v>520</v>
      </c>
      <c r="J4" s="9">
        <f>I4/C4</f>
        <v/>
      </c>
      <c r="K4" s="31" t="n">
        <v>308</v>
      </c>
      <c r="L4" s="8">
        <f>K4/C4</f>
        <v/>
      </c>
      <c r="M4" s="30" t="n">
        <v>29</v>
      </c>
      <c r="N4" s="7">
        <f>M4/C4</f>
        <v/>
      </c>
      <c r="O4" s="6" t="n">
        <v>0</v>
      </c>
      <c r="P4" s="29">
        <f>O4/C4</f>
        <v/>
      </c>
      <c r="Q4" s="13" t="n">
        <v>10</v>
      </c>
      <c r="R4" s="13" t="n">
        <v>184</v>
      </c>
      <c r="S4" s="13" t="n">
        <v>484</v>
      </c>
      <c r="T4" s="5">
        <f>Q4/R4</f>
        <v/>
      </c>
      <c r="U4" s="35" t="n">
        <v>7025</v>
      </c>
      <c r="V4" s="34" t="n">
        <v>4215</v>
      </c>
      <c r="W4" s="5">
        <f>Q4/V4</f>
        <v/>
      </c>
      <c r="X4" s="12" t="n"/>
    </row>
    <row r="5">
      <c r="A5" s="12" t="n">
        <v>2</v>
      </c>
      <c r="B5" s="12" t="inlineStr">
        <is>
          <t>ГАУЗ «ОКБ № 3»</t>
        </is>
      </c>
      <c r="C5" s="13" t="n">
        <v>7005</v>
      </c>
      <c r="D5" s="13" t="n">
        <v>3669</v>
      </c>
      <c r="E5" s="5">
        <f>D5/C5</f>
        <v/>
      </c>
      <c r="F5" s="33" t="n">
        <v>2328</v>
      </c>
      <c r="G5" s="11">
        <f>F5/C5</f>
        <v/>
      </c>
      <c r="H5" s="10">
        <f>IF(F5&lt;&gt;0,F5/(F5+K5+M5),0)</f>
        <v/>
      </c>
      <c r="I5" s="32" t="n">
        <v>1008</v>
      </c>
      <c r="J5" s="9">
        <f>I5/C5</f>
        <v/>
      </c>
      <c r="K5" s="31" t="n">
        <v>625</v>
      </c>
      <c r="L5" s="8">
        <f>K5/C5</f>
        <v/>
      </c>
      <c r="M5" s="30" t="n">
        <v>62</v>
      </c>
      <c r="N5" s="7">
        <f>M5/C5</f>
        <v/>
      </c>
      <c r="O5" s="6" t="n">
        <v>0</v>
      </c>
      <c r="P5" s="29">
        <f>O5/C5</f>
        <v/>
      </c>
      <c r="Q5" s="13" t="n">
        <v>4097</v>
      </c>
      <c r="R5" s="13" t="n">
        <v>6622</v>
      </c>
      <c r="S5" s="13" t="n">
        <v>10613</v>
      </c>
      <c r="T5" s="5">
        <f>Q5/R5</f>
        <v/>
      </c>
      <c r="U5" s="28" t="n">
        <v>16385</v>
      </c>
      <c r="V5" s="27" t="n">
        <v>9831</v>
      </c>
      <c r="W5" s="5">
        <f>Q5/V5</f>
        <v/>
      </c>
      <c r="X5" s="12" t="n"/>
    </row>
    <row r="6">
      <c r="A6" s="12" t="n">
        <v>3</v>
      </c>
      <c r="B6" s="12" t="inlineStr">
        <is>
          <t>ГБУЗ «ОСП»</t>
        </is>
      </c>
      <c r="C6" s="13" t="n">
        <v>2460</v>
      </c>
      <c r="D6" s="13" t="n">
        <v>434</v>
      </c>
      <c r="E6" s="5">
        <f>D6/C6</f>
        <v/>
      </c>
      <c r="F6" s="33" t="n">
        <v>265</v>
      </c>
      <c r="G6" s="11">
        <f>F6/C6</f>
        <v/>
      </c>
      <c r="H6" s="10">
        <f>IF(F6&lt;&gt;0,F6/(F6+K6+M6),0)</f>
        <v/>
      </c>
      <c r="I6" s="32" t="n">
        <v>1761</v>
      </c>
      <c r="J6" s="9">
        <f>I6/C6</f>
        <v/>
      </c>
      <c r="K6" s="31" t="n">
        <v>1709</v>
      </c>
      <c r="L6" s="8">
        <f>K6/C6</f>
        <v/>
      </c>
      <c r="M6" s="30" t="n">
        <v>5</v>
      </c>
      <c r="N6" s="7">
        <f>M6/C6</f>
        <v/>
      </c>
      <c r="O6" s="6" t="n">
        <v>0</v>
      </c>
      <c r="P6" s="29">
        <f>O6/C6</f>
        <v/>
      </c>
      <c r="Q6" s="13" t="n">
        <v>0</v>
      </c>
      <c r="R6" s="13" t="n">
        <v>501</v>
      </c>
      <c r="S6" s="13" t="n">
        <v>592</v>
      </c>
      <c r="T6" s="5">
        <f>Q6/R6</f>
        <v/>
      </c>
      <c r="U6" s="28" t="n">
        <v>1250</v>
      </c>
      <c r="V6" s="27" t="n">
        <v>750</v>
      </c>
      <c r="W6" s="5">
        <f>Q6/V6</f>
        <v/>
      </c>
      <c r="X6" s="12" t="n"/>
    </row>
    <row r="7">
      <c r="A7" s="12" t="n">
        <v>4</v>
      </c>
      <c r="B7" s="12" t="inlineStr">
        <is>
          <t>ГБУЗ «ЧОКНБ»</t>
        </is>
      </c>
      <c r="C7" s="13" t="n">
        <v>138</v>
      </c>
      <c r="D7" s="13" t="n">
        <v>119</v>
      </c>
      <c r="E7" s="5">
        <f>D7/C7</f>
        <v/>
      </c>
      <c r="F7" s="33" t="n">
        <v>17</v>
      </c>
      <c r="G7" s="11">
        <f>F7/C7</f>
        <v/>
      </c>
      <c r="H7" s="10">
        <f>IF(F7&lt;&gt;0,F7/(F7+K7+M7),0)</f>
        <v/>
      </c>
      <c r="I7" s="32" t="n">
        <v>2</v>
      </c>
      <c r="J7" s="9">
        <f>I7/C7</f>
        <v/>
      </c>
      <c r="K7" s="31" t="n">
        <v>0</v>
      </c>
      <c r="L7" s="8">
        <f>K7/C7</f>
        <v/>
      </c>
      <c r="M7" s="30" t="n">
        <v>1</v>
      </c>
      <c r="N7" s="7">
        <f>M7/C7</f>
        <v/>
      </c>
      <c r="O7" s="6" t="n">
        <v>0</v>
      </c>
      <c r="P7" s="29">
        <f>O7/C7</f>
        <v/>
      </c>
      <c r="Q7" s="13" t="n">
        <v>65</v>
      </c>
      <c r="R7" s="13" t="n">
        <v>7695</v>
      </c>
      <c r="S7" s="13" t="n">
        <v>7695</v>
      </c>
      <c r="T7" s="5">
        <f>Q7/R7</f>
        <v/>
      </c>
      <c r="U7" s="28" t="n">
        <v>525</v>
      </c>
      <c r="V7" s="27" t="n">
        <v>315</v>
      </c>
      <c r="W7" s="5">
        <f>Q7/V7</f>
        <v/>
      </c>
      <c r="X7" s="12" t="n"/>
    </row>
    <row r="8">
      <c r="A8" s="12" t="n">
        <v>5</v>
      </c>
      <c r="B8" s="12" t="inlineStr">
        <is>
          <t>ГБУЗ «ОНД»</t>
        </is>
      </c>
      <c r="C8" s="13" t="n">
        <v>57</v>
      </c>
      <c r="D8" s="13" t="n">
        <v>29</v>
      </c>
      <c r="E8" s="5">
        <f>D8/C8</f>
        <v/>
      </c>
      <c r="F8" s="33" t="n">
        <v>27</v>
      </c>
      <c r="G8" s="11">
        <f>F8/C8</f>
        <v/>
      </c>
      <c r="H8" s="10">
        <f>IF(F8&lt;&gt;0,F8/(F8+K8+M8),0)</f>
        <v/>
      </c>
      <c r="I8" s="32" t="n">
        <v>1</v>
      </c>
      <c r="J8" s="9">
        <f>I8/C8</f>
        <v/>
      </c>
      <c r="K8" s="31" t="n">
        <v>0</v>
      </c>
      <c r="L8" s="8">
        <f>K8/C8</f>
        <v/>
      </c>
      <c r="M8" s="30" t="n">
        <v>0</v>
      </c>
      <c r="N8" s="7">
        <f>M8/C8</f>
        <v/>
      </c>
      <c r="O8" s="6" t="n">
        <v>0</v>
      </c>
      <c r="P8" s="29">
        <f>O8/C8</f>
        <v/>
      </c>
      <c r="Q8" s="13" t="n">
        <v>2070</v>
      </c>
      <c r="R8" s="13" t="n">
        <v>2946</v>
      </c>
      <c r="S8" s="13" t="n">
        <v>2946</v>
      </c>
      <c r="T8" s="5">
        <f>Q8/R8</f>
        <v/>
      </c>
      <c r="U8" s="28" t="n">
        <v>525</v>
      </c>
      <c r="V8" s="27" t="n">
        <v>315</v>
      </c>
      <c r="W8" s="5">
        <f>Q8/V8</f>
        <v/>
      </c>
      <c r="X8" s="12" t="n"/>
    </row>
    <row r="9">
      <c r="A9" s="12" t="n">
        <v>6</v>
      </c>
      <c r="B9" s="12" t="inlineStr">
        <is>
          <t>ГБУЗ «ОКСПНБ № 1»</t>
        </is>
      </c>
      <c r="C9" s="13" t="n">
        <v>1912</v>
      </c>
      <c r="D9" s="13" t="n">
        <v>1189</v>
      </c>
      <c r="E9" s="5">
        <f>D9/C9</f>
        <v/>
      </c>
      <c r="F9" s="33" t="n">
        <v>645</v>
      </c>
      <c r="G9" s="11">
        <f>F9/C9</f>
        <v/>
      </c>
      <c r="H9" s="10">
        <f>IF(F9&lt;&gt;0,F9/(F9+K9+M9),0)</f>
        <v/>
      </c>
      <c r="I9" s="32" t="n">
        <v>78</v>
      </c>
      <c r="J9" s="9">
        <f>I9/C9</f>
        <v/>
      </c>
      <c r="K9" s="31" t="n">
        <v>20</v>
      </c>
      <c r="L9" s="8">
        <f>K9/C9</f>
        <v/>
      </c>
      <c r="M9" s="30" t="n">
        <v>6</v>
      </c>
      <c r="N9" s="7">
        <f>M9/C9</f>
        <v/>
      </c>
      <c r="O9" s="6" t="n">
        <v>0</v>
      </c>
      <c r="P9" s="29">
        <f>O9/C9</f>
        <v/>
      </c>
      <c r="Q9" s="13" t="n">
        <v>165</v>
      </c>
      <c r="R9" s="13" t="n">
        <v>2796</v>
      </c>
      <c r="S9" s="13" t="n">
        <v>2796</v>
      </c>
      <c r="T9" s="5">
        <f>Q9/R9</f>
        <v/>
      </c>
      <c r="U9" s="28" t="n">
        <v>810</v>
      </c>
      <c r="V9" s="27" t="n">
        <v>486</v>
      </c>
      <c r="W9" s="5">
        <f>Q9/V9</f>
        <v/>
      </c>
      <c r="X9" s="12" t="n"/>
    </row>
    <row r="10">
      <c r="A10" s="12" t="n">
        <v>7</v>
      </c>
      <c r="B10" s="12" t="inlineStr">
        <is>
          <t>ГБУЗ «ОПБ № 3»</t>
        </is>
      </c>
      <c r="C10" s="13" t="n">
        <v>117</v>
      </c>
      <c r="D10" s="13" t="n">
        <v>24</v>
      </c>
      <c r="E10" s="5">
        <f>D10/C10</f>
        <v/>
      </c>
      <c r="F10" s="33" t="n">
        <v>87</v>
      </c>
      <c r="G10" s="11">
        <f>F10/C10</f>
        <v/>
      </c>
      <c r="H10" s="10">
        <f>IF(F10&lt;&gt;0,F10/(F10+K10+M10),0)</f>
        <v/>
      </c>
      <c r="I10" s="32" t="n">
        <v>6</v>
      </c>
      <c r="J10" s="9">
        <f>I10/C10</f>
        <v/>
      </c>
      <c r="K10" s="31" t="n">
        <v>5</v>
      </c>
      <c r="L10" s="8">
        <f>K10/C10</f>
        <v/>
      </c>
      <c r="M10" s="30" t="n">
        <v>0</v>
      </c>
      <c r="N10" s="7">
        <f>M10/C10</f>
        <v/>
      </c>
      <c r="O10" s="6" t="n">
        <v>0</v>
      </c>
      <c r="P10" s="29">
        <f>O10/C10</f>
        <v/>
      </c>
      <c r="Q10" s="13" t="n">
        <v>790</v>
      </c>
      <c r="R10" s="13" t="n">
        <v>1315</v>
      </c>
      <c r="S10" s="13" t="n">
        <v>1315</v>
      </c>
      <c r="T10" s="5">
        <f>Q10/R10</f>
        <v/>
      </c>
      <c r="U10" s="28" t="n">
        <v>150</v>
      </c>
      <c r="V10" s="27" t="n">
        <v>90</v>
      </c>
      <c r="W10" s="5">
        <f>Q10/V10</f>
        <v/>
      </c>
      <c r="X10" s="12" t="n"/>
    </row>
    <row r="11">
      <c r="A11" s="12" t="n">
        <v>8</v>
      </c>
      <c r="B11" s="12" t="inlineStr">
        <is>
          <t>ГБУЗ «ОПНБ № 5»</t>
        </is>
      </c>
      <c r="C11" s="13" t="n">
        <v>560</v>
      </c>
      <c r="D11" s="13" t="n">
        <v>122</v>
      </c>
      <c r="E11" s="5">
        <f>D11/C11</f>
        <v/>
      </c>
      <c r="F11" s="33" t="n">
        <v>158</v>
      </c>
      <c r="G11" s="11">
        <f>F11/C11</f>
        <v/>
      </c>
      <c r="H11" s="10">
        <f>IF(F11&lt;&gt;0,F11/(F11+K11+M11),0)</f>
        <v/>
      </c>
      <c r="I11" s="32" t="n">
        <v>280</v>
      </c>
      <c r="J11" s="9">
        <f>I11/C11</f>
        <v/>
      </c>
      <c r="K11" s="31" t="n">
        <v>269</v>
      </c>
      <c r="L11" s="8">
        <f>K11/C11</f>
        <v/>
      </c>
      <c r="M11" s="30" t="n">
        <v>0</v>
      </c>
      <c r="N11" s="7">
        <f>M11/C11</f>
        <v/>
      </c>
      <c r="O11" s="6" t="n">
        <v>0</v>
      </c>
      <c r="P11" s="29">
        <f>O11/C11</f>
        <v/>
      </c>
      <c r="Q11" s="13" t="n">
        <v>0</v>
      </c>
      <c r="R11" s="13" t="n">
        <v>137810</v>
      </c>
      <c r="S11" s="13" t="n">
        <v>137810</v>
      </c>
      <c r="T11" s="5">
        <f>Q11/R11</f>
        <v/>
      </c>
      <c r="U11" s="28" t="n">
        <v>260</v>
      </c>
      <c r="V11" s="27" t="n">
        <v>156</v>
      </c>
      <c r="W11" s="5">
        <f>Q11/V11</f>
        <v/>
      </c>
      <c r="X11" s="12" t="n"/>
    </row>
    <row r="12">
      <c r="A12" s="12" t="n">
        <v>9</v>
      </c>
      <c r="B12" s="12" t="inlineStr">
        <is>
          <t>ГБУЗ «ОПБ № 7»</t>
        </is>
      </c>
      <c r="C12" s="13" t="n">
        <v>240</v>
      </c>
      <c r="D12" s="13" t="n">
        <v>27</v>
      </c>
      <c r="E12" s="5">
        <f>D12/C12</f>
        <v/>
      </c>
      <c r="F12" s="33" t="n">
        <v>12</v>
      </c>
      <c r="G12" s="11">
        <f>F12/C12</f>
        <v/>
      </c>
      <c r="H12" s="10">
        <f>IF(F12&lt;&gt;0,F12/(F12+K12+M12),0)</f>
        <v/>
      </c>
      <c r="I12" s="32" t="n">
        <v>201</v>
      </c>
      <c r="J12" s="9">
        <f>I12/C12</f>
        <v/>
      </c>
      <c r="K12" s="31" t="n">
        <v>201</v>
      </c>
      <c r="L12" s="8">
        <f>K12/C12</f>
        <v/>
      </c>
      <c r="M12" s="30" t="n">
        <v>0</v>
      </c>
      <c r="N12" s="7">
        <f>M12/C12</f>
        <v/>
      </c>
      <c r="O12" s="6" t="n">
        <v>0</v>
      </c>
      <c r="P12" s="29">
        <f>O12/C12</f>
        <v/>
      </c>
      <c r="Q12" s="13" t="n">
        <v>84</v>
      </c>
      <c r="R12" s="13" t="n">
        <v>167</v>
      </c>
      <c r="S12" s="13" t="n">
        <v>167</v>
      </c>
      <c r="T12" s="5">
        <f>Q12/R12</f>
        <v/>
      </c>
      <c r="U12" s="28" t="n">
        <v>280</v>
      </c>
      <c r="V12" s="27" t="n">
        <v>168</v>
      </c>
      <c r="W12" s="5">
        <f>Q12/V12</f>
        <v/>
      </c>
      <c r="X12" s="12" t="n"/>
    </row>
    <row r="13">
      <c r="A13" s="12" t="n">
        <v>10</v>
      </c>
      <c r="B13" s="12" t="inlineStr">
        <is>
          <t>ГБУЗ «ОПНД»</t>
        </is>
      </c>
      <c r="C13" s="13" t="n">
        <v>152</v>
      </c>
      <c r="D13" s="13" t="n">
        <v>96</v>
      </c>
      <c r="E13" s="5">
        <f>D13/C13</f>
        <v/>
      </c>
      <c r="F13" s="33" t="n">
        <v>47</v>
      </c>
      <c r="G13" s="11">
        <f>F13/C13</f>
        <v/>
      </c>
      <c r="H13" s="10">
        <f>IF(F13&lt;&gt;0,F13/(F13+K13+M13),0)</f>
        <v/>
      </c>
      <c r="I13" s="32" t="n">
        <v>9</v>
      </c>
      <c r="J13" s="9">
        <f>I13/C13</f>
        <v/>
      </c>
      <c r="K13" s="31" t="n">
        <v>7</v>
      </c>
      <c r="L13" s="8">
        <f>K13/C13</f>
        <v/>
      </c>
      <c r="M13" s="30" t="n">
        <v>0</v>
      </c>
      <c r="N13" s="7">
        <f>M13/C13</f>
        <v/>
      </c>
      <c r="O13" s="6" t="n">
        <v>0</v>
      </c>
      <c r="P13" s="29">
        <f>O13/C13</f>
        <v/>
      </c>
      <c r="Q13" s="13" t="n">
        <v>0</v>
      </c>
      <c r="R13" s="13" t="n">
        <v>112</v>
      </c>
      <c r="S13" s="13" t="n">
        <v>112</v>
      </c>
      <c r="T13" s="5">
        <f>Q13/R13</f>
        <v/>
      </c>
      <c r="U13" s="28" t="n">
        <v>280</v>
      </c>
      <c r="V13" s="27" t="n">
        <v>168</v>
      </c>
      <c r="W13" s="5">
        <f>Q13/V13</f>
        <v/>
      </c>
      <c r="X13" s="12" t="n"/>
    </row>
    <row r="14">
      <c r="A14" s="12" t="n">
        <v>11</v>
      </c>
      <c r="B14" s="12" t="inlineStr">
        <is>
          <t>ГБУЗ «ЧОКПТД»</t>
        </is>
      </c>
      <c r="C14" s="13" t="n">
        <v>651</v>
      </c>
      <c r="D14" s="13" t="n">
        <v>599</v>
      </c>
      <c r="E14" s="5">
        <f>D14/C14</f>
        <v/>
      </c>
      <c r="F14" s="33" t="n">
        <v>41</v>
      </c>
      <c r="G14" s="11">
        <f>F14/C14</f>
        <v/>
      </c>
      <c r="H14" s="10">
        <f>IF(F14&lt;&gt;0,F14/(F14+K14+M14),0)</f>
        <v/>
      </c>
      <c r="I14" s="32" t="n">
        <v>11</v>
      </c>
      <c r="J14" s="9">
        <f>I14/C14</f>
        <v/>
      </c>
      <c r="K14" s="31" t="n">
        <v>5</v>
      </c>
      <c r="L14" s="8">
        <f>K14/C14</f>
        <v/>
      </c>
      <c r="M14" s="30" t="n">
        <v>0</v>
      </c>
      <c r="N14" s="7">
        <f>M14/C14</f>
        <v/>
      </c>
      <c r="O14" s="6" t="n">
        <v>0</v>
      </c>
      <c r="P14" s="29">
        <f>O14/C14</f>
        <v/>
      </c>
      <c r="Q14" s="13" t="n">
        <v>2294</v>
      </c>
      <c r="R14" s="13" t="n">
        <v>2846</v>
      </c>
      <c r="S14" s="13" t="n">
        <v>2846</v>
      </c>
      <c r="T14" s="5">
        <f>Q14/R14</f>
        <v/>
      </c>
      <c r="U14" s="28" t="n">
        <v>1700</v>
      </c>
      <c r="V14" s="27" t="n">
        <v>1020</v>
      </c>
      <c r="W14" s="5">
        <f>Q14/V14</f>
        <v/>
      </c>
      <c r="X14" s="12" t="n"/>
    </row>
    <row r="15">
      <c r="A15" s="12" t="n">
        <v>12</v>
      </c>
      <c r="B15" s="12" t="inlineStr">
        <is>
          <t>ГБУЗ «ОПТД № 8»</t>
        </is>
      </c>
      <c r="C15" s="13" t="n">
        <v>37</v>
      </c>
      <c r="D15" s="13" t="n">
        <v>17</v>
      </c>
      <c r="E15" s="5">
        <f>D15/C15</f>
        <v/>
      </c>
      <c r="F15" s="33" t="n">
        <v>19</v>
      </c>
      <c r="G15" s="11">
        <f>F15/C15</f>
        <v/>
      </c>
      <c r="H15" s="10">
        <f>IF(F15&lt;&gt;0,F15/(F15+K15+M15),0)</f>
        <v/>
      </c>
      <c r="I15" s="32" t="n">
        <v>1</v>
      </c>
      <c r="J15" s="9">
        <f>I15/C15</f>
        <v/>
      </c>
      <c r="K15" s="31" t="n">
        <v>0</v>
      </c>
      <c r="L15" s="8">
        <f>K15/C15</f>
        <v/>
      </c>
      <c r="M15" s="30" t="n">
        <v>0</v>
      </c>
      <c r="N15" s="7">
        <f>M15/C15</f>
        <v/>
      </c>
      <c r="O15" s="6" t="n">
        <v>0</v>
      </c>
      <c r="P15" s="29">
        <f>O15/C15</f>
        <v/>
      </c>
      <c r="Q15" s="13" t="n">
        <v>245</v>
      </c>
      <c r="R15" s="13" t="n">
        <v>340</v>
      </c>
      <c r="S15" s="13" t="n">
        <v>340</v>
      </c>
      <c r="T15" s="5">
        <f>Q15/R15</f>
        <v/>
      </c>
      <c r="U15" s="28" t="n">
        <v>150</v>
      </c>
      <c r="V15" s="27" t="n">
        <v>90</v>
      </c>
      <c r="W15" s="5">
        <f>Q15/V15</f>
        <v/>
      </c>
      <c r="X15" s="12" t="n"/>
    </row>
    <row r="16">
      <c r="A16" s="12" t="n">
        <v>13</v>
      </c>
      <c r="B16" s="12" t="inlineStr">
        <is>
          <t>ГБУЗ «ОТБ № 1»</t>
        </is>
      </c>
      <c r="C16" s="13" t="n">
        <v>211</v>
      </c>
      <c r="D16" s="13" t="n">
        <v>196</v>
      </c>
      <c r="E16" s="5">
        <f>D16/C16</f>
        <v/>
      </c>
      <c r="F16" s="33" t="n">
        <v>13</v>
      </c>
      <c r="G16" s="11">
        <f>F16/C16</f>
        <v/>
      </c>
      <c r="H16" s="10">
        <f>IF(F16&lt;&gt;0,F16/(F16+K16+M16),0)</f>
        <v/>
      </c>
      <c r="I16" s="32" t="n">
        <v>2</v>
      </c>
      <c r="J16" s="9">
        <f>I16/C16</f>
        <v/>
      </c>
      <c r="K16" s="31" t="n">
        <v>2</v>
      </c>
      <c r="L16" s="8">
        <f>K16/C16</f>
        <v/>
      </c>
      <c r="M16" s="30" t="n">
        <v>0</v>
      </c>
      <c r="N16" s="7">
        <f>M16/C16</f>
        <v/>
      </c>
      <c r="O16" s="6" t="n">
        <v>0</v>
      </c>
      <c r="P16" s="29">
        <f>O16/C16</f>
        <v/>
      </c>
      <c r="Q16" s="13" t="n">
        <v>1230</v>
      </c>
      <c r="R16" s="13" t="n">
        <v>1590</v>
      </c>
      <c r="S16" s="13" t="n">
        <v>1590</v>
      </c>
      <c r="T16" s="5">
        <f>Q16/R16</f>
        <v/>
      </c>
      <c r="U16" s="28" t="n">
        <v>650</v>
      </c>
      <c r="V16" s="27" t="n">
        <v>390</v>
      </c>
      <c r="W16" s="5">
        <f>Q16/V16</f>
        <v/>
      </c>
      <c r="X16" s="12" t="n"/>
    </row>
    <row r="17">
      <c r="A17" s="12" t="n">
        <v>14</v>
      </c>
      <c r="B17" s="12" t="inlineStr">
        <is>
          <t>ГБУЗ «ОТБ № 2»</t>
        </is>
      </c>
      <c r="C17" s="13" t="n">
        <v>166</v>
      </c>
      <c r="D17" s="13" t="n">
        <v>69</v>
      </c>
      <c r="E17" s="5">
        <f>D17/C17</f>
        <v/>
      </c>
      <c r="F17" s="33" t="n">
        <v>88</v>
      </c>
      <c r="G17" s="11">
        <f>F17/C17</f>
        <v/>
      </c>
      <c r="H17" s="10">
        <f>IF(F17&lt;&gt;0,F17/(F17+K17+M17),0)</f>
        <v/>
      </c>
      <c r="I17" s="32" t="n">
        <v>9</v>
      </c>
      <c r="J17" s="9">
        <f>I17/C17</f>
        <v/>
      </c>
      <c r="K17" s="31" t="n">
        <v>0</v>
      </c>
      <c r="L17" s="8">
        <f>K17/C17</f>
        <v/>
      </c>
      <c r="M17" s="30" t="n">
        <v>2</v>
      </c>
      <c r="N17" s="7">
        <f>M17/C17</f>
        <v/>
      </c>
      <c r="O17" s="6" t="n">
        <v>0</v>
      </c>
      <c r="P17" s="29">
        <f>O17/C17</f>
        <v/>
      </c>
      <c r="Q17" s="13" t="n">
        <v>1718</v>
      </c>
      <c r="R17" s="13" t="n">
        <v>4837</v>
      </c>
      <c r="S17" s="13" t="n">
        <v>4837</v>
      </c>
      <c r="T17" s="5">
        <f>Q17/R17</f>
        <v/>
      </c>
      <c r="U17" s="28" t="n">
        <v>750</v>
      </c>
      <c r="V17" s="27" t="n">
        <v>450</v>
      </c>
      <c r="W17" s="5">
        <f>Q17/V17</f>
        <v/>
      </c>
      <c r="X17" s="12" t="n"/>
    </row>
    <row r="18">
      <c r="A18" s="12" t="n">
        <v>15</v>
      </c>
      <c r="B18" s="12" t="inlineStr">
        <is>
          <t>ГБУЗ «ОТБ № 3»</t>
        </is>
      </c>
      <c r="C18" s="13" t="n">
        <v>234</v>
      </c>
      <c r="D18" s="13" t="n">
        <v>150</v>
      </c>
      <c r="E18" s="5">
        <f>D18/C18</f>
        <v/>
      </c>
      <c r="F18" s="33" t="n">
        <v>64</v>
      </c>
      <c r="G18" s="11">
        <f>F18/C18</f>
        <v/>
      </c>
      <c r="H18" s="10">
        <f>IF(F18&lt;&gt;0,F18/(F18+K18+M18),0)</f>
        <v/>
      </c>
      <c r="I18" s="32" t="n">
        <v>20</v>
      </c>
      <c r="J18" s="9">
        <f>I18/C18</f>
        <v/>
      </c>
      <c r="K18" s="31" t="n">
        <v>0</v>
      </c>
      <c r="L18" s="8">
        <f>K18/C18</f>
        <v/>
      </c>
      <c r="M18" s="30" t="n">
        <v>4</v>
      </c>
      <c r="N18" s="7">
        <f>M18/C18</f>
        <v/>
      </c>
      <c r="O18" s="6" t="n">
        <v>0</v>
      </c>
      <c r="P18" s="29">
        <f>O18/C18</f>
        <v/>
      </c>
      <c r="Q18" s="13" t="n">
        <v>1068</v>
      </c>
      <c r="R18" s="13" t="n">
        <v>1068</v>
      </c>
      <c r="S18" s="13" t="n">
        <v>1068</v>
      </c>
      <c r="T18" s="5">
        <f>Q18/R18</f>
        <v/>
      </c>
      <c r="U18" s="28" t="n">
        <v>500</v>
      </c>
      <c r="V18" s="27" t="n">
        <v>300</v>
      </c>
      <c r="W18" s="5">
        <f>Q18/V18</f>
        <v/>
      </c>
      <c r="X18" s="12" t="n"/>
    </row>
    <row r="19">
      <c r="A19" s="12" t="n">
        <v>16</v>
      </c>
      <c r="B19" s="12" t="inlineStr">
        <is>
          <t>ГБУЗ «ОТБ № 13»</t>
        </is>
      </c>
      <c r="C19" s="13" t="n">
        <v>120</v>
      </c>
      <c r="D19" s="13" t="n">
        <v>13</v>
      </c>
      <c r="E19" s="5">
        <f>D19/C19</f>
        <v/>
      </c>
      <c r="F19" s="33" t="n">
        <v>95</v>
      </c>
      <c r="G19" s="11">
        <f>F19/C19</f>
        <v/>
      </c>
      <c r="H19" s="10">
        <f>IF(F19&lt;&gt;0,F19/(F19+K19+M19),0)</f>
        <v/>
      </c>
      <c r="I19" s="32" t="n">
        <v>12</v>
      </c>
      <c r="J19" s="9">
        <f>I19/C19</f>
        <v/>
      </c>
      <c r="K19" s="31" t="n">
        <v>0</v>
      </c>
      <c r="L19" s="8">
        <f>K19/C19</f>
        <v/>
      </c>
      <c r="M19" s="30" t="n">
        <v>4</v>
      </c>
      <c r="N19" s="7">
        <f>M19/C19</f>
        <v/>
      </c>
      <c r="O19" s="6" t="n">
        <v>0</v>
      </c>
      <c r="P19" s="29">
        <f>O19/C19</f>
        <v/>
      </c>
      <c r="Q19" s="13" t="n">
        <v>365</v>
      </c>
      <c r="R19" s="13" t="n">
        <v>2131</v>
      </c>
      <c r="S19" s="13" t="n">
        <v>2131</v>
      </c>
      <c r="T19" s="5">
        <f>Q19/R19</f>
        <v/>
      </c>
      <c r="U19" s="28" t="n">
        <v>200</v>
      </c>
      <c r="V19" s="27" t="n">
        <v>120</v>
      </c>
      <c r="W19" s="5">
        <f>Q19/V19</f>
        <v/>
      </c>
      <c r="X19" s="12" t="n"/>
    </row>
    <row r="20">
      <c r="A20" s="12" t="n">
        <v>17</v>
      </c>
      <c r="B20" s="12" t="inlineStr">
        <is>
          <t>ГБУЗ «РБ с. Агаповка»</t>
        </is>
      </c>
      <c r="C20" s="13" t="n">
        <v>205</v>
      </c>
      <c r="D20" s="13" t="n">
        <v>126</v>
      </c>
      <c r="E20" s="5">
        <f>D20/C20</f>
        <v/>
      </c>
      <c r="F20" s="33" t="n">
        <v>50</v>
      </c>
      <c r="G20" s="11">
        <f>F20/C20</f>
        <v/>
      </c>
      <c r="H20" s="10">
        <f>IF(F20&lt;&gt;0,F20/(F20+K20+M20),0)</f>
        <v/>
      </c>
      <c r="I20" s="32" t="n">
        <v>29</v>
      </c>
      <c r="J20" s="9">
        <f>I20/C20</f>
        <v/>
      </c>
      <c r="K20" s="31" t="n">
        <v>21</v>
      </c>
      <c r="L20" s="8">
        <f>K20/C20</f>
        <v/>
      </c>
      <c r="M20" s="30" t="n">
        <v>3</v>
      </c>
      <c r="N20" s="7">
        <f>M20/C20</f>
        <v/>
      </c>
      <c r="O20" s="6" t="n">
        <v>0</v>
      </c>
      <c r="P20" s="29">
        <f>O20/C20</f>
        <v/>
      </c>
      <c r="Q20" s="13" t="n">
        <v>2979</v>
      </c>
      <c r="R20" s="13" t="n">
        <v>10285</v>
      </c>
      <c r="S20" s="13" t="n">
        <v>13645</v>
      </c>
      <c r="T20" s="5">
        <f>Q20/R20</f>
        <v/>
      </c>
      <c r="U20" s="28" t="n">
        <v>3230</v>
      </c>
      <c r="V20" s="27" t="n">
        <v>1938</v>
      </c>
      <c r="W20" s="5">
        <f>Q20/V20</f>
        <v/>
      </c>
      <c r="X20" s="12" t="n"/>
    </row>
    <row r="21" ht="15.75" customHeight="1">
      <c r="A21" s="12" t="n">
        <v>18</v>
      </c>
      <c r="B21" s="12" t="inlineStr">
        <is>
          <t>ГБУЗ «РБ с. Аргаяш»</t>
        </is>
      </c>
      <c r="C21" s="13" t="n">
        <v>161</v>
      </c>
      <c r="D21" s="13" t="n">
        <v>92</v>
      </c>
      <c r="E21" s="5">
        <f>D21/C21</f>
        <v/>
      </c>
      <c r="F21" s="33" t="n">
        <v>34</v>
      </c>
      <c r="G21" s="11">
        <f>F21/C21</f>
        <v/>
      </c>
      <c r="H21" s="10">
        <f>IF(F21&lt;&gt;0,F21/(F21+K21+M21),0)</f>
        <v/>
      </c>
      <c r="I21" s="32" t="n">
        <v>35</v>
      </c>
      <c r="J21" s="9">
        <f>I21/C21</f>
        <v/>
      </c>
      <c r="K21" s="31" t="n">
        <v>31</v>
      </c>
      <c r="L21" s="8">
        <f>K21/C21</f>
        <v/>
      </c>
      <c r="M21" s="30" t="n">
        <v>1</v>
      </c>
      <c r="N21" s="7">
        <f>M21/C21</f>
        <v/>
      </c>
      <c r="O21" s="6" t="n">
        <v>0</v>
      </c>
      <c r="P21" s="29">
        <f>O21/C21</f>
        <v/>
      </c>
      <c r="Q21" s="13" t="n">
        <v>2915</v>
      </c>
      <c r="R21" s="13" t="n">
        <v>4714</v>
      </c>
      <c r="S21" s="13" t="n">
        <v>4714</v>
      </c>
      <c r="T21" s="5">
        <f>Q21/R21</f>
        <v/>
      </c>
      <c r="U21" s="28" t="n">
        <v>4103</v>
      </c>
      <c r="V21" s="27" t="n">
        <v>2462</v>
      </c>
      <c r="W21" s="5">
        <f>Q21/V21</f>
        <v/>
      </c>
      <c r="X21" s="12" t="n"/>
    </row>
    <row r="22" ht="15.75" customHeight="1">
      <c r="A22" s="12" t="n">
        <v>19</v>
      </c>
      <c r="B22" s="12" t="inlineStr">
        <is>
          <t>ГБУЗ «РБ г. Аша»</t>
        </is>
      </c>
      <c r="C22" s="13" t="n">
        <v>788</v>
      </c>
      <c r="D22" s="13" t="n">
        <v>352</v>
      </c>
      <c r="E22" s="5">
        <f>D22/C22</f>
        <v/>
      </c>
      <c r="F22" s="33" t="n">
        <v>377</v>
      </c>
      <c r="G22" s="11">
        <f>F22/C22</f>
        <v/>
      </c>
      <c r="H22" s="10">
        <f>IF(F22&lt;&gt;0,F22/(F22+K22+M22),0)</f>
        <v/>
      </c>
      <c r="I22" s="32" t="n">
        <v>59</v>
      </c>
      <c r="J22" s="9">
        <f>I22/C22</f>
        <v/>
      </c>
      <c r="K22" s="31" t="n">
        <v>22</v>
      </c>
      <c r="L22" s="8">
        <f>K22/C22</f>
        <v/>
      </c>
      <c r="M22" s="30" t="n">
        <v>0</v>
      </c>
      <c r="N22" s="7">
        <f>M22/C22</f>
        <v/>
      </c>
      <c r="O22" s="6" t="n">
        <v>0</v>
      </c>
      <c r="P22" s="29">
        <f>O22/C22</f>
        <v/>
      </c>
      <c r="Q22" s="13" t="n">
        <v>9062</v>
      </c>
      <c r="R22" s="13" t="n">
        <v>9198</v>
      </c>
      <c r="S22" s="13" t="n">
        <v>9198</v>
      </c>
      <c r="T22" s="5">
        <f>Q22/R22</f>
        <v/>
      </c>
      <c r="U22" s="28" t="n">
        <v>7235</v>
      </c>
      <c r="V22" s="27" t="n">
        <v>4341</v>
      </c>
      <c r="W22" s="5">
        <f>Q22/V22</f>
        <v/>
      </c>
      <c r="X22" s="12" t="n"/>
    </row>
    <row r="23" ht="15.75" customHeight="1">
      <c r="A23" s="12" t="n">
        <v>20</v>
      </c>
      <c r="B23" s="12" t="inlineStr">
        <is>
          <t>ГБУЗ «РБ п. Бреды»</t>
        </is>
      </c>
      <c r="C23" s="13" t="n">
        <v>40</v>
      </c>
      <c r="D23" s="13" t="n">
        <v>30</v>
      </c>
      <c r="E23" s="5">
        <f>D23/C23</f>
        <v/>
      </c>
      <c r="F23" s="33" t="n">
        <v>4</v>
      </c>
      <c r="G23" s="11">
        <f>F23/C23</f>
        <v/>
      </c>
      <c r="H23" s="10">
        <f>IF(F23&lt;&gt;0,F23/(F23+K23+M23),0)</f>
        <v/>
      </c>
      <c r="I23" s="32" t="n">
        <v>6</v>
      </c>
      <c r="J23" s="9">
        <f>I23/C23</f>
        <v/>
      </c>
      <c r="K23" s="31" t="n">
        <v>0</v>
      </c>
      <c r="L23" s="8">
        <f>K23/C23</f>
        <v/>
      </c>
      <c r="M23" s="30" t="n">
        <v>2</v>
      </c>
      <c r="N23" s="7">
        <f>M23/C23</f>
        <v/>
      </c>
      <c r="O23" s="6" t="n">
        <v>0</v>
      </c>
      <c r="P23" s="29">
        <f>O23/C23</f>
        <v/>
      </c>
      <c r="Q23" s="13" t="n">
        <v>2579</v>
      </c>
      <c r="R23" s="13" t="n">
        <v>3589</v>
      </c>
      <c r="S23" s="13" t="n">
        <v>3589</v>
      </c>
      <c r="T23" s="5">
        <f>Q23/R23</f>
        <v/>
      </c>
      <c r="U23" s="28" t="n">
        <v>2240</v>
      </c>
      <c r="V23" s="27" t="n">
        <v>1344</v>
      </c>
      <c r="W23" s="5">
        <f>Q23/V23</f>
        <v/>
      </c>
      <c r="X23" s="12" t="n"/>
    </row>
    <row r="24" ht="15.75" customHeight="1">
      <c r="A24" s="12" t="n">
        <v>21</v>
      </c>
      <c r="B24" s="12" t="inlineStr">
        <is>
          <t>ГБУЗ «РБ с. Варна»</t>
        </is>
      </c>
      <c r="C24" s="13" t="n">
        <v>691</v>
      </c>
      <c r="D24" s="13" t="n">
        <v>299</v>
      </c>
      <c r="E24" s="5">
        <f>D24/C24</f>
        <v/>
      </c>
      <c r="F24" s="33" t="n">
        <v>248</v>
      </c>
      <c r="G24" s="11">
        <f>F24/C24</f>
        <v/>
      </c>
      <c r="H24" s="10">
        <f>IF(F24&lt;&gt;0,F24/(F24+K24+M24),0)</f>
        <v/>
      </c>
      <c r="I24" s="32" t="n">
        <v>144</v>
      </c>
      <c r="J24" s="9">
        <f>I24/C24</f>
        <v/>
      </c>
      <c r="K24" s="31" t="n">
        <v>121</v>
      </c>
      <c r="L24" s="8">
        <f>K24/C24</f>
        <v/>
      </c>
      <c r="M24" s="30" t="n">
        <v>2</v>
      </c>
      <c r="N24" s="7">
        <f>M24/C24</f>
        <v/>
      </c>
      <c r="O24" s="6" t="n">
        <v>0</v>
      </c>
      <c r="P24" s="29">
        <f>O24/C24</f>
        <v/>
      </c>
      <c r="Q24" s="13" t="n">
        <v>764</v>
      </c>
      <c r="R24" s="13" t="n">
        <v>2198</v>
      </c>
      <c r="S24" s="13" t="n">
        <v>3242</v>
      </c>
      <c r="T24" s="5">
        <f>Q24/R24</f>
        <v/>
      </c>
      <c r="U24" s="28" t="n">
        <v>2515</v>
      </c>
      <c r="V24" s="27" t="n">
        <v>1509</v>
      </c>
      <c r="W24" s="5">
        <f>Q24/V24</f>
        <v/>
      </c>
      <c r="X24" s="12" t="n"/>
    </row>
    <row r="25" ht="15.75" customHeight="1">
      <c r="A25" s="12" t="n">
        <v>22</v>
      </c>
      <c r="B25" s="12" t="inlineStr">
        <is>
          <t>ГБУЗ «РБ г. Верхнеуральск»</t>
        </is>
      </c>
      <c r="C25" s="13" t="n">
        <v>123</v>
      </c>
      <c r="D25" s="13" t="n">
        <v>73</v>
      </c>
      <c r="E25" s="5">
        <f>D25/C25</f>
        <v/>
      </c>
      <c r="F25" s="33" t="n">
        <v>40</v>
      </c>
      <c r="G25" s="11">
        <f>F25/C25</f>
        <v/>
      </c>
      <c r="H25" s="10">
        <f>IF(F25&lt;&gt;0,F25/(F25+K25+M25),0)</f>
        <v/>
      </c>
      <c r="I25" s="32" t="n">
        <v>10</v>
      </c>
      <c r="J25" s="9">
        <f>I25/C25</f>
        <v/>
      </c>
      <c r="K25" s="31" t="n">
        <v>6</v>
      </c>
      <c r="L25" s="8">
        <f>K25/C25</f>
        <v/>
      </c>
      <c r="M25" s="30" t="n">
        <v>2</v>
      </c>
      <c r="N25" s="7">
        <f>M25/C25</f>
        <v/>
      </c>
      <c r="O25" s="6" t="n">
        <v>0</v>
      </c>
      <c r="P25" s="29">
        <f>O25/C25</f>
        <v/>
      </c>
      <c r="Q25" s="13" t="n">
        <v>2555</v>
      </c>
      <c r="R25" s="13" t="n">
        <v>19007</v>
      </c>
      <c r="S25" s="13" t="n">
        <v>19007</v>
      </c>
      <c r="T25" s="5">
        <f>Q25/R25</f>
        <v/>
      </c>
      <c r="U25" s="28" t="n">
        <v>3790</v>
      </c>
      <c r="V25" s="27" t="n">
        <v>2274</v>
      </c>
      <c r="W25" s="5">
        <f>Q25/V25</f>
        <v/>
      </c>
      <c r="X25" s="12" t="n"/>
    </row>
    <row r="26" ht="15.75" customHeight="1">
      <c r="A26" s="12" t="n">
        <v>23</v>
      </c>
      <c r="B26" s="12" t="inlineStr">
        <is>
          <t>ГБУЗ «ГБ г. Верхний Уфалей»</t>
        </is>
      </c>
      <c r="C26" s="13" t="n">
        <v>611</v>
      </c>
      <c r="D26" s="13" t="n">
        <v>250</v>
      </c>
      <c r="E26" s="5">
        <f>D26/C26</f>
        <v/>
      </c>
      <c r="F26" s="33" t="n">
        <v>128</v>
      </c>
      <c r="G26" s="11">
        <f>F26/C26</f>
        <v/>
      </c>
      <c r="H26" s="10">
        <f>IF(F26&lt;&gt;0,F26/(F26+K26+M26),0)</f>
        <v/>
      </c>
      <c r="I26" s="32" t="n">
        <v>233</v>
      </c>
      <c r="J26" s="9">
        <f>I26/C26</f>
        <v/>
      </c>
      <c r="K26" s="31" t="n">
        <v>219</v>
      </c>
      <c r="L26" s="8">
        <f>K26/C26</f>
        <v/>
      </c>
      <c r="M26" s="30" t="n">
        <v>2</v>
      </c>
      <c r="N26" s="7">
        <f>M26/C26</f>
        <v/>
      </c>
      <c r="O26" s="6" t="n">
        <v>0</v>
      </c>
      <c r="P26" s="29">
        <f>O26/C26</f>
        <v/>
      </c>
      <c r="Q26" s="13" t="n">
        <v>2606</v>
      </c>
      <c r="R26" s="13" t="n">
        <v>7870</v>
      </c>
      <c r="S26" s="13" t="n">
        <v>7870</v>
      </c>
      <c r="T26" s="5">
        <f>Q26/R26</f>
        <v/>
      </c>
      <c r="U26" s="28" t="n">
        <v>3295</v>
      </c>
      <c r="V26" s="27" t="n">
        <v>1977</v>
      </c>
      <c r="W26" s="5">
        <f>Q26/V26</f>
        <v/>
      </c>
      <c r="X26" s="12" t="n"/>
    </row>
    <row r="27" ht="15.75" customHeight="1">
      <c r="A27" s="12" t="n">
        <v>24</v>
      </c>
      <c r="B27" s="12" t="inlineStr">
        <is>
          <t>ГБУЗ «СП г. Верхний Уфалей»</t>
        </is>
      </c>
      <c r="C27" s="13" t="n">
        <v>504</v>
      </c>
      <c r="D27" s="13" t="n">
        <v>265</v>
      </c>
      <c r="E27" s="5">
        <f>D27/C27</f>
        <v/>
      </c>
      <c r="F27" s="33" t="n">
        <v>218</v>
      </c>
      <c r="G27" s="11">
        <f>F27/C27</f>
        <v/>
      </c>
      <c r="H27" s="10">
        <f>IF(F27&lt;&gt;0,F27/(F27+K27+M27),0)</f>
        <v/>
      </c>
      <c r="I27" s="32" t="n">
        <v>21</v>
      </c>
      <c r="J27" s="9">
        <f>I27/C27</f>
        <v/>
      </c>
      <c r="K27" s="31" t="n">
        <v>2</v>
      </c>
      <c r="L27" s="8">
        <f>K27/C27</f>
        <v/>
      </c>
      <c r="M27" s="30" t="n">
        <v>3</v>
      </c>
      <c r="N27" s="7">
        <f>M27/C27</f>
        <v/>
      </c>
      <c r="O27" s="6" t="n">
        <v>0</v>
      </c>
      <c r="P27" s="29">
        <f>O27/C27</f>
        <v/>
      </c>
      <c r="Q27" s="13" t="n">
        <v>0</v>
      </c>
      <c r="R27" s="13" t="n">
        <v>390</v>
      </c>
      <c r="S27" s="13" t="n">
        <v>390</v>
      </c>
      <c r="T27" s="5">
        <f>Q27/R27</f>
        <v/>
      </c>
      <c r="U27" s="28" t="n">
        <v>250</v>
      </c>
      <c r="V27" s="27" t="n">
        <v>150</v>
      </c>
      <c r="W27" s="5">
        <f>Q27/V27</f>
        <v/>
      </c>
      <c r="X27" s="12" t="n"/>
    </row>
    <row r="28" ht="15.75" customHeight="1">
      <c r="A28" s="12" t="n">
        <v>25</v>
      </c>
      <c r="B28" s="12" t="inlineStr">
        <is>
          <t>ГБУЗ «РБ с. Долгодеревенское»</t>
        </is>
      </c>
      <c r="C28" s="13" t="n">
        <v>1816</v>
      </c>
      <c r="D28" s="13" t="n">
        <v>709</v>
      </c>
      <c r="E28" s="5">
        <f>D28/C28</f>
        <v/>
      </c>
      <c r="F28" s="33" t="n">
        <v>610</v>
      </c>
      <c r="G28" s="11">
        <f>F28/C28</f>
        <v/>
      </c>
      <c r="H28" s="10">
        <f>IF(F28&lt;&gt;0,F28/(F28+K28+M28),0)</f>
        <v/>
      </c>
      <c r="I28" s="32" t="n">
        <v>497</v>
      </c>
      <c r="J28" s="9">
        <f>I28/C28</f>
        <v/>
      </c>
      <c r="K28" s="31" t="n">
        <v>423</v>
      </c>
      <c r="L28" s="8">
        <f>K28/C28</f>
        <v/>
      </c>
      <c r="M28" s="30" t="n">
        <v>3</v>
      </c>
      <c r="N28" s="7">
        <f>M28/C28</f>
        <v/>
      </c>
      <c r="O28" s="6" t="n">
        <v>0</v>
      </c>
      <c r="P28" s="29">
        <f>O28/C28</f>
        <v/>
      </c>
      <c r="Q28" s="13" t="n">
        <v>3218</v>
      </c>
      <c r="R28" s="13" t="n">
        <v>5181</v>
      </c>
      <c r="S28" s="13" t="n">
        <v>5191</v>
      </c>
      <c r="T28" s="5">
        <f>Q28/R28</f>
        <v/>
      </c>
      <c r="U28" s="28" t="n">
        <v>9550</v>
      </c>
      <c r="V28" s="27" t="n">
        <v>5730</v>
      </c>
      <c r="W28" s="5">
        <f>Q28/V28</f>
        <v/>
      </c>
      <c r="X28" s="12" t="n"/>
    </row>
    <row r="29" ht="15.75" customHeight="1">
      <c r="A29" s="12" t="n">
        <v>26</v>
      </c>
      <c r="B29" s="12" t="inlineStr">
        <is>
          <t>ГБУЗ «ГБ № 1 г. Еманжелинск»</t>
        </is>
      </c>
      <c r="C29" s="13" t="n">
        <v>3886</v>
      </c>
      <c r="D29" s="13" t="n">
        <v>1384</v>
      </c>
      <c r="E29" s="5">
        <f>D29/C29</f>
        <v/>
      </c>
      <c r="F29" s="33" t="n">
        <v>1446</v>
      </c>
      <c r="G29" s="11">
        <f>F29/C29</f>
        <v/>
      </c>
      <c r="H29" s="10">
        <f>IF(F29&lt;&gt;0,F29/(F29+K29+M29),0)</f>
        <v/>
      </c>
      <c r="I29" s="32" t="n">
        <v>1056</v>
      </c>
      <c r="J29" s="9">
        <f>I29/C29</f>
        <v/>
      </c>
      <c r="K29" s="31" t="n">
        <v>950</v>
      </c>
      <c r="L29" s="8">
        <f>K29/C29</f>
        <v/>
      </c>
      <c r="M29" s="30" t="n">
        <v>12</v>
      </c>
      <c r="N29" s="7">
        <f>M29/C29</f>
        <v/>
      </c>
      <c r="O29" s="6" t="n">
        <v>0</v>
      </c>
      <c r="P29" s="29">
        <f>O29/C29</f>
        <v/>
      </c>
      <c r="Q29" s="13" t="n"/>
      <c r="R29" s="13" t="n"/>
      <c r="S29" s="13" t="n"/>
      <c r="T29" s="5">
        <f>Q29/R29</f>
        <v/>
      </c>
      <c r="U29" s="28" t="n">
        <v>5020</v>
      </c>
      <c r="V29" s="27" t="n">
        <v>3012</v>
      </c>
      <c r="W29" s="5">
        <f>Q29/V29</f>
        <v/>
      </c>
      <c r="X29" s="12" t="n"/>
    </row>
    <row r="30" ht="15" customHeight="1">
      <c r="A30" s="12" t="n">
        <v>27</v>
      </c>
      <c r="B30" s="12" t="inlineStr">
        <is>
          <t>ГБУЗ «РБ с. Еткуль»</t>
        </is>
      </c>
      <c r="C30" s="13" t="n">
        <v>439</v>
      </c>
      <c r="D30" s="13" t="n">
        <v>282</v>
      </c>
      <c r="E30" s="5">
        <f>D30/C30</f>
        <v/>
      </c>
      <c r="F30" s="33" t="n">
        <v>130</v>
      </c>
      <c r="G30" s="11">
        <f>F30/C30</f>
        <v/>
      </c>
      <c r="H30" s="10">
        <f>IF(F30&lt;&gt;0,F30/(F30+K30+M30),0)</f>
        <v/>
      </c>
      <c r="I30" s="32" t="n">
        <v>27</v>
      </c>
      <c r="J30" s="9">
        <f>I30/C30</f>
        <v/>
      </c>
      <c r="K30" s="31" t="n">
        <v>13</v>
      </c>
      <c r="L30" s="8">
        <f>K30/C30</f>
        <v/>
      </c>
      <c r="M30" s="30" t="n">
        <v>2</v>
      </c>
      <c r="N30" s="7">
        <f>M30/C30</f>
        <v/>
      </c>
      <c r="O30" s="6" t="n">
        <v>0</v>
      </c>
      <c r="P30" s="29">
        <f>O30/C30</f>
        <v/>
      </c>
      <c r="Q30" s="13" t="n">
        <v>0</v>
      </c>
      <c r="R30" s="13" t="n">
        <v>129</v>
      </c>
      <c r="S30" s="13" t="n">
        <v>129</v>
      </c>
      <c r="T30" s="5">
        <f>Q30/R30</f>
        <v/>
      </c>
      <c r="U30" s="28" t="n">
        <v>2550</v>
      </c>
      <c r="V30" s="27" t="n">
        <v>1530</v>
      </c>
      <c r="W30" s="5">
        <f>Q30/V30</f>
        <v/>
      </c>
      <c r="X30" s="12" t="n"/>
    </row>
    <row r="31" ht="15.75" customHeight="1">
      <c r="A31" s="12" t="n">
        <v>28</v>
      </c>
      <c r="B31" s="12" t="inlineStr">
        <is>
          <t>ГБУЗ «ГДБ г. Златоуст»</t>
        </is>
      </c>
      <c r="C31" s="13" t="n">
        <v>4076</v>
      </c>
      <c r="D31" s="13" t="n">
        <v>1301</v>
      </c>
      <c r="E31" s="5">
        <f>D31/C31</f>
        <v/>
      </c>
      <c r="F31" s="33" t="n">
        <v>1295</v>
      </c>
      <c r="G31" s="11">
        <f>F31/C31</f>
        <v/>
      </c>
      <c r="H31" s="10">
        <f>IF(F31&lt;&gt;0,F31/(F31+K31+M31),0)</f>
        <v/>
      </c>
      <c r="I31" s="32" t="n">
        <v>1480</v>
      </c>
      <c r="J31" s="9">
        <f>I31/C31</f>
        <v/>
      </c>
      <c r="K31" s="31" t="n">
        <v>1336</v>
      </c>
      <c r="L31" s="8">
        <f>K31/C31</f>
        <v/>
      </c>
      <c r="M31" s="30" t="n">
        <v>17</v>
      </c>
      <c r="N31" s="7">
        <f>M31/C31</f>
        <v/>
      </c>
      <c r="O31" s="6" t="n">
        <v>0</v>
      </c>
      <c r="P31" s="29">
        <f>O31/C31</f>
        <v/>
      </c>
      <c r="Q31" s="13" t="n"/>
      <c r="R31" s="13" t="n"/>
      <c r="S31" s="13" t="n"/>
      <c r="T31" s="5">
        <f>Q31/R31</f>
        <v/>
      </c>
      <c r="U31" s="28" t="n">
        <v>4995</v>
      </c>
      <c r="V31" s="27" t="n">
        <v>2997</v>
      </c>
      <c r="W31" s="5">
        <f>Q31/V31</f>
        <v/>
      </c>
      <c r="X31" s="12" t="n"/>
    </row>
    <row r="32" ht="15.75" customHeight="1">
      <c r="A32" s="12" t="n">
        <v>29</v>
      </c>
      <c r="B32" s="12" t="inlineStr">
        <is>
          <t>ГБУЗ «ГБ г. Златоуст»</t>
        </is>
      </c>
      <c r="C32" s="13" t="n">
        <v>6842</v>
      </c>
      <c r="D32" s="13" t="n">
        <v>2875</v>
      </c>
      <c r="E32" s="5">
        <f>D32/C32</f>
        <v/>
      </c>
      <c r="F32" s="33" t="n">
        <v>1952</v>
      </c>
      <c r="G32" s="11">
        <f>F32/C32</f>
        <v/>
      </c>
      <c r="H32" s="10">
        <f>IF(F32&lt;&gt;0,F32/(F32+K32+M32),0)</f>
        <v/>
      </c>
      <c r="I32" s="32" t="n">
        <v>2015</v>
      </c>
      <c r="J32" s="9">
        <f>I32/C32</f>
        <v/>
      </c>
      <c r="K32" s="31" t="n">
        <v>1724</v>
      </c>
      <c r="L32" s="8">
        <f>K32/C32</f>
        <v/>
      </c>
      <c r="M32" s="30" t="n">
        <v>51</v>
      </c>
      <c r="N32" s="7">
        <f>M32/C32</f>
        <v/>
      </c>
      <c r="O32" s="6" t="n">
        <v>0</v>
      </c>
      <c r="P32" s="29">
        <f>O32/C32</f>
        <v/>
      </c>
      <c r="Q32" s="13" t="n">
        <v>283</v>
      </c>
      <c r="R32" s="13" t="n">
        <v>4981</v>
      </c>
      <c r="S32" s="13" t="n">
        <v>4981</v>
      </c>
      <c r="T32" s="5">
        <f>Q32/R32</f>
        <v/>
      </c>
      <c r="U32" s="28" t="n">
        <v>10035</v>
      </c>
      <c r="V32" s="27" t="n">
        <v>6021</v>
      </c>
      <c r="W32" s="5">
        <f>Q32/V32</f>
        <v/>
      </c>
      <c r="X32" s="12" t="n"/>
    </row>
    <row r="33" ht="15.75" customHeight="1">
      <c r="A33" s="12" t="n">
        <v>30</v>
      </c>
      <c r="B33" s="12" t="inlineStr">
        <is>
          <t>ГБУЗ «ГБ г. Карабаш»</t>
        </is>
      </c>
      <c r="C33" s="13" t="n">
        <v>436</v>
      </c>
      <c r="D33" s="13" t="n">
        <v>157</v>
      </c>
      <c r="E33" s="5">
        <f>D33/C33</f>
        <v/>
      </c>
      <c r="F33" s="33" t="n">
        <v>235</v>
      </c>
      <c r="G33" s="11">
        <f>F33/C33</f>
        <v/>
      </c>
      <c r="H33" s="10">
        <f>IF(F33&lt;&gt;0,F33/(F33+K33+M33),0)</f>
        <v/>
      </c>
      <c r="I33" s="32" t="n">
        <v>44</v>
      </c>
      <c r="J33" s="9">
        <f>I33/C33</f>
        <v/>
      </c>
      <c r="K33" s="31" t="n">
        <v>18</v>
      </c>
      <c r="L33" s="8">
        <f>K33/C33</f>
        <v/>
      </c>
      <c r="M33" s="30" t="n">
        <v>0</v>
      </c>
      <c r="N33" s="7">
        <f>M33/C33</f>
        <v/>
      </c>
      <c r="O33" s="6" t="n">
        <v>0</v>
      </c>
      <c r="P33" s="29">
        <f>O33/C33</f>
        <v/>
      </c>
      <c r="Q33" s="13" t="n">
        <v>2792</v>
      </c>
      <c r="R33" s="13" t="n">
        <v>3970</v>
      </c>
      <c r="S33" s="13" t="n">
        <v>3970</v>
      </c>
      <c r="T33" s="5">
        <f>Q33/R33</f>
        <v/>
      </c>
      <c r="U33" s="28" t="n">
        <v>1760</v>
      </c>
      <c r="V33" s="27" t="n">
        <v>1056</v>
      </c>
      <c r="W33" s="5">
        <f>Q33/V33</f>
        <v/>
      </c>
      <c r="X33" s="12" t="n"/>
    </row>
    <row r="34" ht="15.75" customHeight="1">
      <c r="A34" s="12" t="n">
        <v>31</v>
      </c>
      <c r="B34" s="12" t="inlineStr">
        <is>
          <t>ГБУЗ «Карталинская ГБ»</t>
        </is>
      </c>
      <c r="C34" s="13" t="n">
        <v>662</v>
      </c>
      <c r="D34" s="13" t="n">
        <v>293</v>
      </c>
      <c r="E34" s="5">
        <f>D34/C34</f>
        <v/>
      </c>
      <c r="F34" s="33" t="n">
        <v>280</v>
      </c>
      <c r="G34" s="11">
        <f>F34/C34</f>
        <v/>
      </c>
      <c r="H34" s="10">
        <f>IF(F34&lt;&gt;0,F34/(F34+K34+M34),0)</f>
        <v/>
      </c>
      <c r="I34" s="32" t="n">
        <v>89</v>
      </c>
      <c r="J34" s="9">
        <f>I34/C34</f>
        <v/>
      </c>
      <c r="K34" s="31" t="n">
        <v>69</v>
      </c>
      <c r="L34" s="8">
        <f>K34/C34</f>
        <v/>
      </c>
      <c r="M34" s="30" t="n">
        <v>2</v>
      </c>
      <c r="N34" s="7">
        <f>M34/C34</f>
        <v/>
      </c>
      <c r="O34" s="6" t="n">
        <v>0</v>
      </c>
      <c r="P34" s="29">
        <f>O34/C34</f>
        <v/>
      </c>
      <c r="Q34" s="13" t="n"/>
      <c r="R34" s="13" t="n"/>
      <c r="S34" s="13" t="n"/>
      <c r="T34" s="5">
        <f>Q34/R34</f>
        <v/>
      </c>
      <c r="U34" s="28" t="n">
        <v>1725</v>
      </c>
      <c r="V34" s="27" t="n">
        <v>1035</v>
      </c>
      <c r="W34" s="5">
        <f>Q34/V34</f>
        <v/>
      </c>
      <c r="X34" s="12" t="n"/>
    </row>
    <row r="35" ht="15.75" customHeight="1">
      <c r="A35" s="12" t="n">
        <v>32</v>
      </c>
      <c r="B35" s="12" t="inlineStr">
        <is>
          <t>ГБУЗ «РБ г. Касли»</t>
        </is>
      </c>
      <c r="C35" s="13" t="n">
        <v>1289</v>
      </c>
      <c r="D35" s="13" t="n">
        <v>553</v>
      </c>
      <c r="E35" s="5">
        <f>D35/C35</f>
        <v/>
      </c>
      <c r="F35" s="33" t="n">
        <v>623</v>
      </c>
      <c r="G35" s="11">
        <f>F35/C35</f>
        <v/>
      </c>
      <c r="H35" s="10">
        <f>IF(F35&lt;&gt;0,F35/(F35+K35+M35),0)</f>
        <v/>
      </c>
      <c r="I35" s="32" t="n">
        <v>113</v>
      </c>
      <c r="J35" s="9">
        <f>I35/C35</f>
        <v/>
      </c>
      <c r="K35" s="31" t="n">
        <v>51</v>
      </c>
      <c r="L35" s="8">
        <f>K35/C35</f>
        <v/>
      </c>
      <c r="M35" s="30" t="n">
        <v>1</v>
      </c>
      <c r="N35" s="7">
        <f>M35/C35</f>
        <v/>
      </c>
      <c r="O35" s="6" t="n">
        <v>0</v>
      </c>
      <c r="P35" s="29">
        <f>O35/C35</f>
        <v/>
      </c>
      <c r="Q35" s="13" t="n">
        <v>1992</v>
      </c>
      <c r="R35" s="13" t="n">
        <v>2379</v>
      </c>
      <c r="S35" s="13" t="n">
        <v>2379</v>
      </c>
      <c r="T35" s="5">
        <f>Q35/R35</f>
        <v/>
      </c>
      <c r="U35" s="28" t="n">
        <v>2980</v>
      </c>
      <c r="V35" s="27" t="n">
        <v>1788</v>
      </c>
      <c r="W35" s="5">
        <f>Q35/V35</f>
        <v/>
      </c>
      <c r="X35" s="12" t="n"/>
    </row>
    <row r="36" ht="15.75" customHeight="1">
      <c r="A36" s="12" t="n">
        <v>33</v>
      </c>
      <c r="B36" s="12" t="inlineStr">
        <is>
          <t>ГБУЗ «РБ г. Катав-Ивановск»</t>
        </is>
      </c>
      <c r="C36" s="13" t="n">
        <v>304</v>
      </c>
      <c r="D36" s="13" t="n">
        <v>123</v>
      </c>
      <c r="E36" s="5">
        <f>D36/C36</f>
        <v/>
      </c>
      <c r="F36" s="33" t="n">
        <v>70</v>
      </c>
      <c r="G36" s="11">
        <f>F36/C36</f>
        <v/>
      </c>
      <c r="H36" s="10">
        <f>IF(F36&lt;&gt;0,F36/(F36+K36+M36),0)</f>
        <v/>
      </c>
      <c r="I36" s="32" t="n">
        <v>111</v>
      </c>
      <c r="J36" s="9">
        <f>I36/C36</f>
        <v/>
      </c>
      <c r="K36" s="31" t="n">
        <v>106</v>
      </c>
      <c r="L36" s="8">
        <f>K36/C36</f>
        <v/>
      </c>
      <c r="M36" s="30" t="n">
        <v>0</v>
      </c>
      <c r="N36" s="7">
        <f>M36/C36</f>
        <v/>
      </c>
      <c r="O36" s="6" t="n">
        <v>0</v>
      </c>
      <c r="P36" s="29">
        <f>O36/C36</f>
        <v/>
      </c>
      <c r="Q36" s="13" t="n">
        <v>2540</v>
      </c>
      <c r="R36" s="13" t="n">
        <v>8348</v>
      </c>
      <c r="S36" s="13" t="n">
        <v>8348</v>
      </c>
      <c r="T36" s="5">
        <f>Q36/R36</f>
        <v/>
      </c>
      <c r="U36" s="28" t="n">
        <v>4020</v>
      </c>
      <c r="V36" s="27" t="n">
        <v>2412</v>
      </c>
      <c r="W36" s="5">
        <f>Q36/V36</f>
        <v/>
      </c>
      <c r="X36" s="12" t="n"/>
    </row>
    <row r="37" ht="15.75" customHeight="1">
      <c r="A37" s="12" t="n">
        <v>34</v>
      </c>
      <c r="B37" s="12" t="inlineStr">
        <is>
          <t>ГБУЗ «РБ с. Кизильское»</t>
        </is>
      </c>
      <c r="C37" s="13" t="n">
        <v>33</v>
      </c>
      <c r="D37" s="13" t="n">
        <v>18</v>
      </c>
      <c r="E37" s="5">
        <f>D37/C37</f>
        <v/>
      </c>
      <c r="F37" s="33" t="n">
        <v>15</v>
      </c>
      <c r="G37" s="11">
        <f>F37/C37</f>
        <v/>
      </c>
      <c r="H37" s="10">
        <f>IF(F37&lt;&gt;0,F37/(F37+K37+M37),0)</f>
        <v/>
      </c>
      <c r="I37" s="32" t="n">
        <v>0</v>
      </c>
      <c r="J37" s="9">
        <f>I37/C37</f>
        <v/>
      </c>
      <c r="K37" s="31" t="n">
        <v>0</v>
      </c>
      <c r="L37" s="8">
        <f>K37/C37</f>
        <v/>
      </c>
      <c r="M37" s="30" t="n">
        <v>0</v>
      </c>
      <c r="N37" s="7">
        <f>M37/C37</f>
        <v/>
      </c>
      <c r="O37" s="6" t="n">
        <v>0</v>
      </c>
      <c r="P37" s="29">
        <f>O37/C37</f>
        <v/>
      </c>
      <c r="Q37" s="13" t="n">
        <v>20126</v>
      </c>
      <c r="R37" s="13" t="n">
        <v>36874</v>
      </c>
      <c r="S37" s="13" t="n">
        <v>36874</v>
      </c>
      <c r="T37" s="5">
        <f>Q37/R37</f>
        <v/>
      </c>
      <c r="U37" s="28" t="n">
        <v>2050</v>
      </c>
      <c r="V37" s="27" t="n">
        <v>1230</v>
      </c>
      <c r="W37" s="5">
        <f>Q37/V37</f>
        <v/>
      </c>
      <c r="X37" s="12" t="n"/>
    </row>
    <row r="38" ht="15.75" customHeight="1">
      <c r="A38" s="12" t="n">
        <v>35</v>
      </c>
      <c r="B38" s="12" t="inlineStr">
        <is>
          <t>ГБУЗ «ГБ № 1 г. Копейск»</t>
        </is>
      </c>
      <c r="C38" s="13" t="n">
        <v>5718</v>
      </c>
      <c r="D38" s="13" t="n">
        <v>2525</v>
      </c>
      <c r="E38" s="5">
        <f>D38/C38</f>
        <v/>
      </c>
      <c r="F38" s="33" t="n">
        <v>1642</v>
      </c>
      <c r="G38" s="11">
        <f>F38/C38</f>
        <v/>
      </c>
      <c r="H38" s="10">
        <f>IF(F38&lt;&gt;0,F38/(F38+K38+M38),0)</f>
        <v/>
      </c>
      <c r="I38" s="32" t="n">
        <v>1551</v>
      </c>
      <c r="J38" s="9">
        <f>I38/C38</f>
        <v/>
      </c>
      <c r="K38" s="31" t="n">
        <v>1383</v>
      </c>
      <c r="L38" s="8">
        <f>K38/C38</f>
        <v/>
      </c>
      <c r="M38" s="30" t="n">
        <v>20</v>
      </c>
      <c r="N38" s="7">
        <f>M38/C38</f>
        <v/>
      </c>
      <c r="O38" s="6" t="n">
        <v>0</v>
      </c>
      <c r="P38" s="29">
        <f>O38/C38</f>
        <v/>
      </c>
      <c r="Q38" s="13" t="n"/>
      <c r="R38" s="13" t="n"/>
      <c r="S38" s="13" t="n"/>
      <c r="T38" s="5">
        <f>Q38/R38</f>
        <v/>
      </c>
      <c r="U38" s="28" t="n">
        <v>6280</v>
      </c>
      <c r="V38" s="27" t="n">
        <v>3768</v>
      </c>
      <c r="W38" s="5">
        <f>Q38/V38</f>
        <v/>
      </c>
      <c r="X38" s="12" t="n"/>
    </row>
    <row r="39" ht="15.75" customHeight="1">
      <c r="A39" s="12" t="n">
        <v>36</v>
      </c>
      <c r="B39" s="12" t="inlineStr">
        <is>
          <t>ГБУЗ «ГБ № 3 г. Копейск»</t>
        </is>
      </c>
      <c r="C39" s="13" t="n">
        <v>221</v>
      </c>
      <c r="D39" s="13" t="n">
        <v>149</v>
      </c>
      <c r="E39" s="5">
        <f>D39/C39</f>
        <v/>
      </c>
      <c r="F39" s="33" t="n">
        <v>47</v>
      </c>
      <c r="G39" s="11">
        <f>F39/C39</f>
        <v/>
      </c>
      <c r="H39" s="10">
        <f>IF(F39&lt;&gt;0,F39/(F39+K39+M39),0)</f>
        <v/>
      </c>
      <c r="I39" s="32" t="n">
        <v>25</v>
      </c>
      <c r="J39" s="9">
        <f>I39/C39</f>
        <v/>
      </c>
      <c r="K39" s="31" t="n">
        <v>17</v>
      </c>
      <c r="L39" s="8">
        <f>K39/C39</f>
        <v/>
      </c>
      <c r="M39" s="30" t="n">
        <v>1</v>
      </c>
      <c r="N39" s="7">
        <f>M39/C39</f>
        <v/>
      </c>
      <c r="O39" s="6" t="n">
        <v>0</v>
      </c>
      <c r="P39" s="29">
        <f>O39/C39</f>
        <v/>
      </c>
      <c r="Q39" s="13" t="n">
        <v>3498</v>
      </c>
      <c r="R39" s="13" t="n">
        <v>3768</v>
      </c>
      <c r="S39" s="13" t="n">
        <v>3768</v>
      </c>
      <c r="T39" s="5">
        <f>Q39/R39</f>
        <v/>
      </c>
      <c r="U39" s="28" t="n">
        <v>3540</v>
      </c>
      <c r="V39" s="27" t="n">
        <v>2124</v>
      </c>
      <c r="W39" s="5">
        <f>Q39/V39</f>
        <v/>
      </c>
      <c r="X39" s="12" t="n"/>
    </row>
    <row r="40" ht="15.75" customHeight="1">
      <c r="A40" s="12" t="n">
        <v>37</v>
      </c>
      <c r="B40" s="12" t="inlineStr">
        <is>
          <t>ГБУЗ «ДГБ г. Копейск»</t>
        </is>
      </c>
      <c r="C40" s="13" t="n">
        <v>2688</v>
      </c>
      <c r="D40" s="13" t="n">
        <v>1135</v>
      </c>
      <c r="E40" s="5">
        <f>D40/C40</f>
        <v/>
      </c>
      <c r="F40" s="33" t="n">
        <v>1102</v>
      </c>
      <c r="G40" s="11">
        <f>F40/C40</f>
        <v/>
      </c>
      <c r="H40" s="10">
        <f>IF(F40&lt;&gt;0,F40/(F40+K40+M40),0)</f>
        <v/>
      </c>
      <c r="I40" s="32" t="n">
        <v>451</v>
      </c>
      <c r="J40" s="9">
        <f>I40/C40</f>
        <v/>
      </c>
      <c r="K40" s="31" t="n">
        <v>380</v>
      </c>
      <c r="L40" s="8">
        <f>K40/C40</f>
        <v/>
      </c>
      <c r="M40" s="30" t="n">
        <v>2</v>
      </c>
      <c r="N40" s="7">
        <f>M40/C40</f>
        <v/>
      </c>
      <c r="O40" s="6" t="n">
        <v>0</v>
      </c>
      <c r="P40" s="29">
        <f>O40/C40</f>
        <v/>
      </c>
      <c r="Q40" s="13" t="n">
        <v>20</v>
      </c>
      <c r="R40" s="13" t="n">
        <v>20</v>
      </c>
      <c r="S40" s="13" t="n">
        <v>3736</v>
      </c>
      <c r="T40" s="5">
        <f>Q40/R40</f>
        <v/>
      </c>
      <c r="U40" s="28" t="n">
        <v>3495</v>
      </c>
      <c r="V40" s="27" t="n">
        <v>2097</v>
      </c>
      <c r="W40" s="5">
        <f>Q40/V40</f>
        <v/>
      </c>
      <c r="X40" s="12" t="n"/>
    </row>
    <row r="41" ht="15.75" customHeight="1">
      <c r="A41" s="12" t="n">
        <v>38</v>
      </c>
      <c r="B41" s="12" t="inlineStr">
        <is>
          <t>ГБУЗ «СП г. Копейск»</t>
        </is>
      </c>
      <c r="C41" s="13" t="n">
        <v>2415</v>
      </c>
      <c r="D41" s="13" t="n">
        <v>802</v>
      </c>
      <c r="E41" s="5">
        <f>D41/C41</f>
        <v/>
      </c>
      <c r="F41" s="33" t="n">
        <v>580</v>
      </c>
      <c r="G41" s="11">
        <f>F41/C41</f>
        <v/>
      </c>
      <c r="H41" s="10">
        <f>IF(F41&lt;&gt;0,F41/(F41+K41+M41),0)</f>
        <v/>
      </c>
      <c r="I41" s="32" t="n">
        <v>1033</v>
      </c>
      <c r="J41" s="9">
        <f>I41/C41</f>
        <v/>
      </c>
      <c r="K41" s="31" t="n">
        <v>955</v>
      </c>
      <c r="L41" s="8">
        <f>K41/C41</f>
        <v/>
      </c>
      <c r="M41" s="30" t="n">
        <v>9</v>
      </c>
      <c r="N41" s="7">
        <f>M41/C41</f>
        <v/>
      </c>
      <c r="O41" s="6" t="n">
        <v>0</v>
      </c>
      <c r="P41" s="29">
        <f>O41/C41</f>
        <v/>
      </c>
      <c r="Q41" s="13" t="n">
        <v>0</v>
      </c>
      <c r="R41" s="13" t="n">
        <v>20</v>
      </c>
      <c r="S41" s="13" t="n">
        <v>55</v>
      </c>
      <c r="T41" s="5">
        <f>Q41/R41</f>
        <v/>
      </c>
      <c r="U41" s="28" t="n">
        <v>1450</v>
      </c>
      <c r="V41" s="27" t="n">
        <v>870</v>
      </c>
      <c r="W41" s="5">
        <f>Q41/V41</f>
        <v/>
      </c>
      <c r="X41" s="12" t="n"/>
    </row>
    <row r="42" ht="15.75" customHeight="1">
      <c r="A42" s="12" t="n">
        <v>39</v>
      </c>
      <c r="B42" s="12" t="inlineStr">
        <is>
          <t>ГБУЗ «ГБ № 1 г. Коркино»</t>
        </is>
      </c>
      <c r="C42" s="13" t="n">
        <v>1679</v>
      </c>
      <c r="D42" s="13" t="n">
        <v>707</v>
      </c>
      <c r="E42" s="5">
        <f>D42/C42</f>
        <v/>
      </c>
      <c r="F42" s="33" t="n">
        <v>453</v>
      </c>
      <c r="G42" s="11">
        <f>F42/C42</f>
        <v/>
      </c>
      <c r="H42" s="10">
        <f>IF(F42&lt;&gt;0,F42/(F42+K42+M42),0)</f>
        <v/>
      </c>
      <c r="I42" s="32" t="n">
        <v>519</v>
      </c>
      <c r="J42" s="9">
        <f>I42/C42</f>
        <v/>
      </c>
      <c r="K42" s="31" t="n">
        <v>469</v>
      </c>
      <c r="L42" s="8">
        <f>K42/C42</f>
        <v/>
      </c>
      <c r="M42" s="30" t="n">
        <v>12</v>
      </c>
      <c r="N42" s="7">
        <f>M42/C42</f>
        <v/>
      </c>
      <c r="O42" s="6" t="n">
        <v>0</v>
      </c>
      <c r="P42" s="29">
        <f>O42/C42</f>
        <v/>
      </c>
      <c r="Q42" s="13" t="n">
        <v>114</v>
      </c>
      <c r="R42" s="13" t="n">
        <v>114</v>
      </c>
      <c r="S42" s="13" t="n">
        <v>114</v>
      </c>
      <c r="T42" s="5">
        <f>Q42/R42</f>
        <v/>
      </c>
      <c r="U42" s="28" t="n">
        <v>3790</v>
      </c>
      <c r="V42" s="27" t="n">
        <v>2274</v>
      </c>
      <c r="W42" s="5">
        <f>Q42/V42</f>
        <v/>
      </c>
      <c r="X42" s="12" t="n"/>
    </row>
    <row r="43" ht="15.75" customHeight="1">
      <c r="A43" s="12" t="n">
        <v>40</v>
      </c>
      <c r="B43" s="12" t="inlineStr">
        <is>
          <t>ГБУЗ «ГБ № 2 г. Коркино»</t>
        </is>
      </c>
      <c r="C43" s="13" t="n">
        <v>562</v>
      </c>
      <c r="D43" s="13" t="n">
        <v>252</v>
      </c>
      <c r="E43" s="5">
        <f>D43/C43</f>
        <v/>
      </c>
      <c r="F43" s="33" t="n">
        <v>286</v>
      </c>
      <c r="G43" s="11">
        <f>F43/C43</f>
        <v/>
      </c>
      <c r="H43" s="10">
        <f>IF(F43&lt;&gt;0,F43/(F43+K43+M43),0)</f>
        <v/>
      </c>
      <c r="I43" s="32" t="n">
        <v>24</v>
      </c>
      <c r="J43" s="9">
        <f>I43/C43</f>
        <v/>
      </c>
      <c r="K43" s="31" t="n">
        <v>2</v>
      </c>
      <c r="L43" s="8">
        <f>K43/C43</f>
        <v/>
      </c>
      <c r="M43" s="30" t="n">
        <v>0</v>
      </c>
      <c r="N43" s="7">
        <f>M43/C43</f>
        <v/>
      </c>
      <c r="O43" s="6" t="n">
        <v>0</v>
      </c>
      <c r="P43" s="29">
        <f>O43/C43</f>
        <v/>
      </c>
      <c r="Q43" s="13" t="n">
        <v>247</v>
      </c>
      <c r="R43" s="13" t="n">
        <v>247</v>
      </c>
      <c r="S43" s="13" t="n">
        <v>247</v>
      </c>
      <c r="T43" s="5">
        <f>Q43/R43</f>
        <v/>
      </c>
      <c r="U43" s="28" t="n">
        <v>1975</v>
      </c>
      <c r="V43" s="27" t="n">
        <v>1185</v>
      </c>
      <c r="W43" s="5">
        <f>Q43/V43</f>
        <v/>
      </c>
      <c r="X43" s="12" t="n"/>
    </row>
    <row r="44" ht="15.75" customHeight="1">
      <c r="A44" s="12" t="n">
        <v>41</v>
      </c>
      <c r="B44" s="12" t="inlineStr">
        <is>
          <t>ГБУЗ «ГБ № 3 г. Коркино»</t>
        </is>
      </c>
      <c r="C44" s="13" t="n">
        <v>174</v>
      </c>
      <c r="D44" s="13" t="n">
        <v>102</v>
      </c>
      <c r="E44" s="5">
        <f>D44/C44</f>
        <v/>
      </c>
      <c r="F44" s="33" t="n">
        <v>63</v>
      </c>
      <c r="G44" s="11">
        <f>F44/C44</f>
        <v/>
      </c>
      <c r="H44" s="10">
        <f>IF(F44&lt;&gt;0,F44/(F44+K44+M44),0)</f>
        <v/>
      </c>
      <c r="I44" s="32" t="n">
        <v>9</v>
      </c>
      <c r="J44" s="9">
        <f>I44/C44</f>
        <v/>
      </c>
      <c r="K44" s="31" t="n">
        <v>4</v>
      </c>
      <c r="L44" s="8">
        <f>K44/C44</f>
        <v/>
      </c>
      <c r="M44" s="30" t="n">
        <v>0</v>
      </c>
      <c r="N44" s="7">
        <f>M44/C44</f>
        <v/>
      </c>
      <c r="O44" s="6" t="n">
        <v>0</v>
      </c>
      <c r="P44" s="29">
        <f>O44/C44</f>
        <v/>
      </c>
      <c r="Q44" s="13" t="n">
        <v>1350</v>
      </c>
      <c r="R44" s="13" t="n">
        <v>1823</v>
      </c>
      <c r="S44" s="13" t="n">
        <v>1823</v>
      </c>
      <c r="T44" s="5">
        <f>Q44/R44</f>
        <v/>
      </c>
      <c r="U44" s="28" t="n">
        <v>1465</v>
      </c>
      <c r="V44" s="27" t="n">
        <v>879</v>
      </c>
      <c r="W44" s="5">
        <f>Q44/V44</f>
        <v/>
      </c>
      <c r="X44" s="12" t="n"/>
    </row>
    <row r="45" ht="15.75" customHeight="1">
      <c r="A45" s="12" t="n">
        <v>42</v>
      </c>
      <c r="B45" s="12" t="inlineStr">
        <is>
          <t>ГБУЗ «ГДБ г. Коркино»</t>
        </is>
      </c>
      <c r="C45" s="13" t="n">
        <v>615</v>
      </c>
      <c r="D45" s="13" t="n">
        <v>277</v>
      </c>
      <c r="E45" s="5">
        <f>D45/C45</f>
        <v/>
      </c>
      <c r="F45" s="33" t="n">
        <v>300</v>
      </c>
      <c r="G45" s="11">
        <f>F45/C45</f>
        <v/>
      </c>
      <c r="H45" s="10">
        <f>IF(F45&lt;&gt;0,F45/(F45+K45+M45),0)</f>
        <v/>
      </c>
      <c r="I45" s="32" t="n">
        <v>38</v>
      </c>
      <c r="J45" s="9">
        <f>I45/C45</f>
        <v/>
      </c>
      <c r="K45" s="31" t="n">
        <v>18</v>
      </c>
      <c r="L45" s="8">
        <f>K45/C45</f>
        <v/>
      </c>
      <c r="M45" s="30" t="n">
        <v>0</v>
      </c>
      <c r="N45" s="7">
        <f>M45/C45</f>
        <v/>
      </c>
      <c r="O45" s="6" t="n">
        <v>0</v>
      </c>
      <c r="P45" s="29">
        <f>O45/C45</f>
        <v/>
      </c>
      <c r="Q45" s="13" t="n">
        <v>476</v>
      </c>
      <c r="R45" s="13" t="n">
        <v>854</v>
      </c>
      <c r="S45" s="13" t="n">
        <v>854</v>
      </c>
      <c r="T45" s="5">
        <f>Q45/R45</f>
        <v/>
      </c>
      <c r="U45" s="28" t="n">
        <v>1695</v>
      </c>
      <c r="V45" s="27" t="n">
        <v>1017</v>
      </c>
      <c r="W45" s="5">
        <f>Q45/V45</f>
        <v/>
      </c>
      <c r="X45" s="12" t="n"/>
    </row>
    <row r="46" ht="15.75" customHeight="1">
      <c r="A46" s="12" t="n">
        <v>43</v>
      </c>
      <c r="B46" s="12" t="inlineStr">
        <is>
          <t>ГБУЗ «РБ с. Кунашак»</t>
        </is>
      </c>
      <c r="C46" s="13" t="n">
        <v>98</v>
      </c>
      <c r="D46" s="13" t="n">
        <v>56</v>
      </c>
      <c r="E46" s="5">
        <f>D46/C46</f>
        <v/>
      </c>
      <c r="F46" s="33" t="n">
        <v>40</v>
      </c>
      <c r="G46" s="11">
        <f>F46/C46</f>
        <v/>
      </c>
      <c r="H46" s="10">
        <f>IF(F46&lt;&gt;0,F46/(F46+K46+M46),0)</f>
        <v/>
      </c>
      <c r="I46" s="32" t="n">
        <v>2</v>
      </c>
      <c r="J46" s="9">
        <f>I46/C46</f>
        <v/>
      </c>
      <c r="K46" s="31" t="n">
        <v>0</v>
      </c>
      <c r="L46" s="8">
        <f>K46/C46</f>
        <v/>
      </c>
      <c r="M46" s="30" t="n">
        <v>0</v>
      </c>
      <c r="N46" s="7">
        <f>M46/C46</f>
        <v/>
      </c>
      <c r="O46" s="6" t="n">
        <v>0</v>
      </c>
      <c r="P46" s="29">
        <f>O46/C46</f>
        <v/>
      </c>
      <c r="Q46" s="13" t="n">
        <v>6058</v>
      </c>
      <c r="R46" s="13" t="n">
        <v>10308</v>
      </c>
      <c r="S46" s="13" t="n">
        <v>10308</v>
      </c>
      <c r="T46" s="5">
        <f>Q46/R46</f>
        <v/>
      </c>
      <c r="U46" s="28" t="n">
        <v>4985</v>
      </c>
      <c r="V46" s="27" t="n">
        <v>2991</v>
      </c>
      <c r="W46" s="5">
        <f>Q46/V46</f>
        <v/>
      </c>
      <c r="X46" s="12" t="n"/>
    </row>
    <row r="47" ht="15.75" customHeight="1">
      <c r="A47" s="12" t="n">
        <v>44</v>
      </c>
      <c r="B47" s="12" t="inlineStr">
        <is>
          <t>ГБУЗ «РБ г. Куса»</t>
        </is>
      </c>
      <c r="C47" s="13" t="n">
        <v>1670</v>
      </c>
      <c r="D47" s="13" t="n">
        <v>663</v>
      </c>
      <c r="E47" s="5">
        <f>D47/C47</f>
        <v/>
      </c>
      <c r="F47" s="33" t="n">
        <v>635</v>
      </c>
      <c r="G47" s="11">
        <f>F47/C47</f>
        <v/>
      </c>
      <c r="H47" s="10">
        <f>IF(F47&lt;&gt;0,F47/(F47+K47+M47),0)</f>
        <v/>
      </c>
      <c r="I47" s="32" t="n">
        <v>372</v>
      </c>
      <c r="J47" s="9">
        <f>I47/C47</f>
        <v/>
      </c>
      <c r="K47" s="31" t="n">
        <v>307</v>
      </c>
      <c r="L47" s="8">
        <f>K47/C47</f>
        <v/>
      </c>
      <c r="M47" s="30" t="n">
        <v>5</v>
      </c>
      <c r="N47" s="7">
        <f>M47/C47</f>
        <v/>
      </c>
      <c r="O47" s="6" t="n">
        <v>0</v>
      </c>
      <c r="P47" s="29">
        <f>O47/C47</f>
        <v/>
      </c>
      <c r="Q47" s="13" t="n">
        <v>1050</v>
      </c>
      <c r="R47" s="13" t="n">
        <v>1900</v>
      </c>
      <c r="S47" s="13" t="n">
        <v>1900</v>
      </c>
      <c r="T47" s="5">
        <f>Q47/R47</f>
        <v/>
      </c>
      <c r="U47" s="28" t="n">
        <v>3975</v>
      </c>
      <c r="V47" s="27" t="n">
        <v>2385</v>
      </c>
      <c r="W47" s="5">
        <f>Q47/V47</f>
        <v/>
      </c>
      <c r="X47" s="12" t="n"/>
    </row>
    <row r="48" ht="15.75" customHeight="1">
      <c r="A48" s="12" t="n">
        <v>45</v>
      </c>
      <c r="B48" s="12" t="inlineStr">
        <is>
          <t>ГБУЗ «ГБ им. А.П. Силаева г. Кыштым»</t>
        </is>
      </c>
      <c r="C48" s="13" t="n">
        <v>2097</v>
      </c>
      <c r="D48" s="13" t="n">
        <v>935</v>
      </c>
      <c r="E48" s="5">
        <f>D48/C48</f>
        <v/>
      </c>
      <c r="F48" s="33" t="n">
        <v>896</v>
      </c>
      <c r="G48" s="11">
        <f>F48/C48</f>
        <v/>
      </c>
      <c r="H48" s="10">
        <f>IF(F48&lt;&gt;0,F48/(F48+K48+M48),0)</f>
        <v/>
      </c>
      <c r="I48" s="32" t="n">
        <v>266</v>
      </c>
      <c r="J48" s="9">
        <f>I48/C48</f>
        <v/>
      </c>
      <c r="K48" s="31" t="n">
        <v>209</v>
      </c>
      <c r="L48" s="8">
        <f>K48/C48</f>
        <v/>
      </c>
      <c r="M48" s="30" t="n">
        <v>1</v>
      </c>
      <c r="N48" s="7">
        <f>M48/C48</f>
        <v/>
      </c>
      <c r="O48" s="6" t="n">
        <v>0</v>
      </c>
      <c r="P48" s="29">
        <f>O48/C48</f>
        <v/>
      </c>
      <c r="Q48" s="13" t="n">
        <v>1010</v>
      </c>
      <c r="R48" s="13" t="n">
        <v>1462</v>
      </c>
      <c r="S48" s="13" t="n">
        <v>1462</v>
      </c>
      <c r="T48" s="5">
        <f>Q48/R48</f>
        <v/>
      </c>
      <c r="U48" s="28" t="n">
        <v>4580</v>
      </c>
      <c r="V48" s="27" t="n">
        <v>2748</v>
      </c>
      <c r="W48" s="5">
        <f>Q48/V48</f>
        <v/>
      </c>
      <c r="X48" s="12" t="n"/>
    </row>
    <row r="49" ht="15.75" customHeight="1">
      <c r="A49" s="12" t="n">
        <v>46</v>
      </c>
      <c r="B49" s="12" t="inlineStr">
        <is>
          <t>ГБУЗ «ОБ» рабочего поселка Локомотивный</t>
        </is>
      </c>
      <c r="C49" s="13" t="n">
        <v>14</v>
      </c>
      <c r="D49" s="13" t="n">
        <v>8</v>
      </c>
      <c r="E49" s="5">
        <f>D49/C49</f>
        <v/>
      </c>
      <c r="F49" s="33" t="n">
        <v>6</v>
      </c>
      <c r="G49" s="11">
        <f>F49/C49</f>
        <v/>
      </c>
      <c r="H49" s="10">
        <f>IF(F49&lt;&gt;0,F49/(F49+K49+M49),0)</f>
        <v/>
      </c>
      <c r="I49" s="32" t="n">
        <v>0</v>
      </c>
      <c r="J49" s="9">
        <f>I49/C49</f>
        <v/>
      </c>
      <c r="K49" s="31" t="n">
        <v>0</v>
      </c>
      <c r="L49" s="8">
        <f>K49/C49</f>
        <v/>
      </c>
      <c r="M49" s="30" t="n">
        <v>0</v>
      </c>
      <c r="N49" s="7">
        <f>M49/C49</f>
        <v/>
      </c>
      <c r="O49" s="6" t="n">
        <v>0</v>
      </c>
      <c r="P49" s="29">
        <f>O49/C49</f>
        <v/>
      </c>
      <c r="Q49" s="13" t="n"/>
      <c r="R49" s="13" t="n"/>
      <c r="S49" s="13" t="n"/>
      <c r="T49" s="5">
        <f>Q49/R49</f>
        <v/>
      </c>
      <c r="U49" s="28" t="n">
        <v>1285</v>
      </c>
      <c r="V49" s="27" t="n">
        <v>771</v>
      </c>
      <c r="W49" s="5">
        <f>Q49/V49</f>
        <v/>
      </c>
      <c r="X49" s="12" t="n"/>
    </row>
    <row r="50" ht="15.75" customHeight="1">
      <c r="A50" s="12" t="n">
        <v>47</v>
      </c>
      <c r="B50" s="12" t="inlineStr">
        <is>
          <t>ГАУЗ «Родильный дом № 1 г. Магнитогорск»</t>
        </is>
      </c>
      <c r="C50" s="13" t="n">
        <v>974</v>
      </c>
      <c r="D50" s="13" t="n">
        <v>420</v>
      </c>
      <c r="E50" s="5">
        <f>D50/C50</f>
        <v/>
      </c>
      <c r="F50" s="33" t="n">
        <v>484</v>
      </c>
      <c r="G50" s="11">
        <f>F50/C50</f>
        <v/>
      </c>
      <c r="H50" s="10">
        <f>IF(F50&lt;&gt;0,F50/(F50+K50+M50),0)</f>
        <v/>
      </c>
      <c r="I50" s="32" t="n">
        <v>70</v>
      </c>
      <c r="J50" s="9">
        <f>I50/C50</f>
        <v/>
      </c>
      <c r="K50" s="31" t="n">
        <v>6</v>
      </c>
      <c r="L50" s="8">
        <f>K50/C50</f>
        <v/>
      </c>
      <c r="M50" s="30" t="n">
        <v>17</v>
      </c>
      <c r="N50" s="7">
        <f>M50/C50</f>
        <v/>
      </c>
      <c r="O50" s="6" t="n">
        <v>0</v>
      </c>
      <c r="P50" s="29">
        <f>O50/C50</f>
        <v/>
      </c>
      <c r="Q50" s="13" t="n">
        <v>256</v>
      </c>
      <c r="R50" s="13" t="n">
        <v>256</v>
      </c>
      <c r="S50" s="13" t="n">
        <v>256</v>
      </c>
      <c r="T50" s="5">
        <f>Q50/R50</f>
        <v/>
      </c>
      <c r="U50" s="28" t="n">
        <v>690</v>
      </c>
      <c r="V50" s="27" t="n">
        <v>414</v>
      </c>
      <c r="W50" s="5">
        <f>Q50/V50</f>
        <v/>
      </c>
      <c r="X50" s="12" t="n"/>
    </row>
    <row r="51" ht="15.75" customHeight="1">
      <c r="A51" s="12" t="n">
        <v>48</v>
      </c>
      <c r="B51" s="12" t="inlineStr">
        <is>
          <t>ГБУЗ «Детская СП г. Магнитогорск»</t>
        </is>
      </c>
      <c r="C51" s="13" t="n">
        <v>5876</v>
      </c>
      <c r="D51" s="13" t="n">
        <v>747</v>
      </c>
      <c r="E51" s="5">
        <f>D51/C51</f>
        <v/>
      </c>
      <c r="F51" s="33" t="n">
        <v>622</v>
      </c>
      <c r="G51" s="11">
        <f>F51/C51</f>
        <v/>
      </c>
      <c r="H51" s="10">
        <f>IF(F51&lt;&gt;0,F51/(F51+K51+M51),0)</f>
        <v/>
      </c>
      <c r="I51" s="32" t="n">
        <v>4507</v>
      </c>
      <c r="J51" s="9">
        <f>I51/C51</f>
        <v/>
      </c>
      <c r="K51" s="31" t="n">
        <v>4381</v>
      </c>
      <c r="L51" s="8">
        <f>K51/C51</f>
        <v/>
      </c>
      <c r="M51" s="30" t="n">
        <v>2</v>
      </c>
      <c r="N51" s="7">
        <f>M51/C51</f>
        <v/>
      </c>
      <c r="O51" s="6" t="n">
        <v>0</v>
      </c>
      <c r="P51" s="29">
        <f>O51/C51</f>
        <v/>
      </c>
      <c r="Q51" s="13" t="n">
        <v>0</v>
      </c>
      <c r="R51" s="13" t="n">
        <v>0</v>
      </c>
      <c r="S51" s="13" t="n">
        <v>0</v>
      </c>
      <c r="T51" s="5">
        <f>Q51/R51</f>
        <v/>
      </c>
      <c r="U51" s="28" t="n">
        <v>1200</v>
      </c>
      <c r="V51" s="27" t="n">
        <v>720</v>
      </c>
      <c r="W51" s="5">
        <f>Q51/V51</f>
        <v/>
      </c>
      <c r="X51" s="12" t="n"/>
    </row>
    <row r="52" ht="15.75" customHeight="1">
      <c r="A52" s="12" t="n">
        <v>49</v>
      </c>
      <c r="B52" s="12" t="inlineStr">
        <is>
          <t>ГАУЗ «ЦОМиД г. Магнитогорск»</t>
        </is>
      </c>
      <c r="C52" s="13" t="n">
        <v>13896</v>
      </c>
      <c r="D52" s="13" t="n">
        <v>5262</v>
      </c>
      <c r="E52" s="5">
        <f>D52/C52</f>
        <v/>
      </c>
      <c r="F52" s="33" t="n">
        <v>5726</v>
      </c>
      <c r="G52" s="11">
        <f>F52/C52</f>
        <v/>
      </c>
      <c r="H52" s="10">
        <f>IF(F52&lt;&gt;0,F52/(F52+K52+M52),0)</f>
        <v/>
      </c>
      <c r="I52" s="32" t="n">
        <v>2908</v>
      </c>
      <c r="J52" s="9">
        <f>I52/C52</f>
        <v/>
      </c>
      <c r="K52" s="31" t="n">
        <v>2419</v>
      </c>
      <c r="L52" s="8">
        <f>K52/C52</f>
        <v/>
      </c>
      <c r="M52" s="30" t="n">
        <v>24</v>
      </c>
      <c r="N52" s="7">
        <f>M52/C52</f>
        <v/>
      </c>
      <c r="O52" s="6" t="n">
        <v>0</v>
      </c>
      <c r="P52" s="29">
        <f>O52/C52</f>
        <v/>
      </c>
      <c r="Q52" s="13" t="n">
        <v>1865</v>
      </c>
      <c r="R52" s="13" t="n">
        <v>3353</v>
      </c>
      <c r="S52" s="13" t="n">
        <v>3353</v>
      </c>
      <c r="T52" s="5">
        <f>Q52/R52</f>
        <v/>
      </c>
      <c r="U52" s="28" t="n">
        <v>11515</v>
      </c>
      <c r="V52" s="27" t="n">
        <v>6909</v>
      </c>
      <c r="W52" s="5">
        <f>Q52/V52</f>
        <v/>
      </c>
      <c r="X52" s="12" t="n"/>
    </row>
    <row r="53" ht="15.75" customHeight="1">
      <c r="A53" s="12" t="n">
        <v>50</v>
      </c>
      <c r="B53" s="12" t="inlineStr">
        <is>
          <t>ГБУЗ «СП № 1 г. Магнитогорск»</t>
        </is>
      </c>
      <c r="C53" s="13" t="n">
        <v>1833</v>
      </c>
      <c r="D53" s="13" t="n">
        <v>919</v>
      </c>
      <c r="E53" s="5">
        <f>D53/C53</f>
        <v/>
      </c>
      <c r="F53" s="33" t="n">
        <v>544</v>
      </c>
      <c r="G53" s="11">
        <f>F53/C53</f>
        <v/>
      </c>
      <c r="H53" s="10">
        <f>IF(F53&lt;&gt;0,F53/(F53+K53+M53),0)</f>
        <v/>
      </c>
      <c r="I53" s="32" t="n">
        <v>370</v>
      </c>
      <c r="J53" s="9">
        <f>I53/C53</f>
        <v/>
      </c>
      <c r="K53" s="31" t="n">
        <v>320</v>
      </c>
      <c r="L53" s="8">
        <f>K53/C53</f>
        <v/>
      </c>
      <c r="M53" s="30" t="n">
        <v>3</v>
      </c>
      <c r="N53" s="7">
        <f>M53/C53</f>
        <v/>
      </c>
      <c r="O53" s="6" t="n">
        <v>0</v>
      </c>
      <c r="P53" s="29">
        <f>O53/C53</f>
        <v/>
      </c>
      <c r="Q53" s="13" t="n">
        <v>0</v>
      </c>
      <c r="R53" s="13" t="n">
        <v>0</v>
      </c>
      <c r="S53" s="13" t="n">
        <v>0</v>
      </c>
      <c r="T53" s="5">
        <f>Q53/R53</f>
        <v/>
      </c>
      <c r="U53" s="28" t="n">
        <v>1000</v>
      </c>
      <c r="V53" s="27" t="n">
        <v>600</v>
      </c>
      <c r="W53" s="5">
        <f>Q53/V53</f>
        <v/>
      </c>
      <c r="X53" s="12" t="n"/>
    </row>
    <row r="54" ht="15.75" customHeight="1">
      <c r="A54" s="12" t="n">
        <v>51</v>
      </c>
      <c r="B54" s="12" t="inlineStr">
        <is>
          <t>ГБУЗ «СП № 2 г. Магнитогорск»</t>
        </is>
      </c>
      <c r="C54" s="13" t="n">
        <v>3482</v>
      </c>
      <c r="D54" s="13" t="n">
        <v>1043</v>
      </c>
      <c r="E54" s="5">
        <f>D54/C54</f>
        <v/>
      </c>
      <c r="F54" s="33" t="n">
        <v>581</v>
      </c>
      <c r="G54" s="11">
        <f>F54/C54</f>
        <v/>
      </c>
      <c r="H54" s="10">
        <f>IF(F54&lt;&gt;0,F54/(F54+K54+M54),0)</f>
        <v/>
      </c>
      <c r="I54" s="32" t="n">
        <v>1858</v>
      </c>
      <c r="J54" s="9">
        <f>I54/C54</f>
        <v/>
      </c>
      <c r="K54" s="31" t="n">
        <v>1767</v>
      </c>
      <c r="L54" s="8">
        <f>K54/C54</f>
        <v/>
      </c>
      <c r="M54" s="30" t="n">
        <v>2</v>
      </c>
      <c r="N54" s="7">
        <f>M54/C54</f>
        <v/>
      </c>
      <c r="O54" s="6" t="n">
        <v>0</v>
      </c>
      <c r="P54" s="29">
        <f>O54/C54</f>
        <v/>
      </c>
      <c r="Q54" s="13" t="n">
        <v>114</v>
      </c>
      <c r="R54" s="13" t="n">
        <v>114</v>
      </c>
      <c r="S54" s="13" t="n">
        <v>114</v>
      </c>
      <c r="T54" s="5">
        <f>Q54/R54</f>
        <v/>
      </c>
      <c r="U54" s="28" t="n">
        <v>1000</v>
      </c>
      <c r="V54" s="27" t="n">
        <v>600</v>
      </c>
      <c r="W54" s="5">
        <f>Q54/V54</f>
        <v/>
      </c>
      <c r="X54" s="12" t="n"/>
    </row>
    <row r="55" ht="15.75" customHeight="1">
      <c r="A55" s="12" t="n">
        <v>52</v>
      </c>
      <c r="B55" s="12" t="inlineStr">
        <is>
          <t>ГАУЗ «ГБ № 1 им. Г.И. Дробышева г. Магнитогорск»</t>
        </is>
      </c>
      <c r="C55" s="13" t="n">
        <v>4409</v>
      </c>
      <c r="D55" s="13" t="n">
        <v>1576</v>
      </c>
      <c r="E55" s="5">
        <f>D55/C55</f>
        <v/>
      </c>
      <c r="F55" s="33" t="n">
        <v>1512</v>
      </c>
      <c r="G55" s="11">
        <f>F55/C55</f>
        <v/>
      </c>
      <c r="H55" s="10">
        <f>IF(F55&lt;&gt;0,F55/(F55+K55+M55),0)</f>
        <v/>
      </c>
      <c r="I55" s="32" t="n">
        <v>1321</v>
      </c>
      <c r="J55" s="9">
        <f>I55/C55</f>
        <v/>
      </c>
      <c r="K55" s="31" t="n">
        <v>1196</v>
      </c>
      <c r="L55" s="8">
        <f>K55/C55</f>
        <v/>
      </c>
      <c r="M55" s="30" t="n">
        <v>18</v>
      </c>
      <c r="N55" s="7">
        <f>M55/C55</f>
        <v/>
      </c>
      <c r="O55" s="6" t="n">
        <v>0</v>
      </c>
      <c r="P55" s="29">
        <f>O55/C55</f>
        <v/>
      </c>
      <c r="Q55" s="13" t="n"/>
      <c r="R55" s="13" t="n"/>
      <c r="S55" s="13" t="n"/>
      <c r="T55" s="5">
        <f>Q55/R55</f>
        <v/>
      </c>
      <c r="U55" s="28" t="n">
        <v>5155</v>
      </c>
      <c r="V55" s="27" t="n">
        <v>3093</v>
      </c>
      <c r="W55" s="5">
        <f>Q55/V55</f>
        <v/>
      </c>
      <c r="X55" s="12" t="n"/>
    </row>
    <row r="56" ht="15.75" customHeight="1">
      <c r="A56" s="12" t="n">
        <v>53</v>
      </c>
      <c r="B56" s="12" t="inlineStr">
        <is>
          <t>ГАУЗ «ГБ № 2 г. Магнитогорск»</t>
        </is>
      </c>
      <c r="C56" s="13" t="n">
        <v>3346</v>
      </c>
      <c r="D56" s="13" t="n">
        <v>1031</v>
      </c>
      <c r="E56" s="5">
        <f>D56/C56</f>
        <v/>
      </c>
      <c r="F56" s="33" t="n">
        <v>1637</v>
      </c>
      <c r="G56" s="11">
        <f>F56/C56</f>
        <v/>
      </c>
      <c r="H56" s="10">
        <f>IF(F56&lt;&gt;0,F56/(F56+K56+M56),0)</f>
        <v/>
      </c>
      <c r="I56" s="32" t="n">
        <v>678</v>
      </c>
      <c r="J56" s="9">
        <f>I56/C56</f>
        <v/>
      </c>
      <c r="K56" s="31" t="n">
        <v>548</v>
      </c>
      <c r="L56" s="8">
        <f>K56/C56</f>
        <v/>
      </c>
      <c r="M56" s="30" t="n">
        <v>10</v>
      </c>
      <c r="N56" s="7">
        <f>M56/C56</f>
        <v/>
      </c>
      <c r="O56" s="6" t="n">
        <v>0</v>
      </c>
      <c r="P56" s="29">
        <f>O56/C56</f>
        <v/>
      </c>
      <c r="Q56" s="13" t="n">
        <v>1976</v>
      </c>
      <c r="R56" s="13" t="n">
        <v>2528</v>
      </c>
      <c r="S56" s="13" t="n">
        <v>3608</v>
      </c>
      <c r="T56" s="5">
        <f>Q56/R56</f>
        <v/>
      </c>
      <c r="U56" s="28" t="n">
        <v>3185</v>
      </c>
      <c r="V56" s="27" t="n">
        <v>1911</v>
      </c>
      <c r="W56" s="5">
        <f>Q56/V56</f>
        <v/>
      </c>
      <c r="X56" s="12" t="n"/>
    </row>
    <row r="57" ht="15.75" customHeight="1">
      <c r="A57" s="12" t="n">
        <v>54</v>
      </c>
      <c r="B57" s="12" t="inlineStr">
        <is>
          <t>ГАУЗ «ГБ № 3 г. Магнитогорск»</t>
        </is>
      </c>
      <c r="C57" s="13" t="n">
        <v>3990</v>
      </c>
      <c r="D57" s="13" t="n">
        <v>1849</v>
      </c>
      <c r="E57" s="5">
        <f>D57/C57</f>
        <v/>
      </c>
      <c r="F57" s="33" t="n">
        <v>1272</v>
      </c>
      <c r="G57" s="11">
        <f>F57/C57</f>
        <v/>
      </c>
      <c r="H57" s="10">
        <f>IF(F57&lt;&gt;0,F57/(F57+K57+M57),0)</f>
        <v/>
      </c>
      <c r="I57" s="32" t="n">
        <v>869</v>
      </c>
      <c r="J57" s="9">
        <f>I57/C57</f>
        <v/>
      </c>
      <c r="K57" s="31" t="n">
        <v>643</v>
      </c>
      <c r="L57" s="8">
        <f>K57/C57</f>
        <v/>
      </c>
      <c r="M57" s="30" t="n">
        <v>23</v>
      </c>
      <c r="N57" s="7">
        <f>M57/C57</f>
        <v/>
      </c>
      <c r="O57" s="6" t="n">
        <v>0</v>
      </c>
      <c r="P57" s="29">
        <f>O57/C57</f>
        <v/>
      </c>
      <c r="Q57" s="13" t="n">
        <v>4698</v>
      </c>
      <c r="R57" s="13" t="n">
        <v>5995</v>
      </c>
      <c r="S57" s="13" t="n">
        <v>51642</v>
      </c>
      <c r="T57" s="5">
        <f>Q57/R57</f>
        <v/>
      </c>
      <c r="U57" s="28" t="n">
        <v>9715</v>
      </c>
      <c r="V57" s="27" t="n">
        <v>5829</v>
      </c>
      <c r="W57" s="5">
        <f>Q57/V57</f>
        <v/>
      </c>
      <c r="X57" s="12" t="n"/>
    </row>
    <row r="58" ht="15.75" customHeight="1">
      <c r="A58" s="12" t="n">
        <v>55</v>
      </c>
      <c r="B58" s="12" t="inlineStr">
        <is>
          <t>ГБУЗ «ГБ № 1 г. Миасс»</t>
        </is>
      </c>
      <c r="C58" s="13" t="n">
        <v>947</v>
      </c>
      <c r="D58" s="13" t="n">
        <v>395</v>
      </c>
      <c r="E58" s="5">
        <f>D58/C58</f>
        <v/>
      </c>
      <c r="F58" s="33" t="n">
        <v>269</v>
      </c>
      <c r="G58" s="11">
        <f>F58/C58</f>
        <v/>
      </c>
      <c r="H58" s="10">
        <f>IF(F58&lt;&gt;0,F58/(F58+K58+M58),0)</f>
        <v/>
      </c>
      <c r="I58" s="32" t="n">
        <v>283</v>
      </c>
      <c r="J58" s="9">
        <f>I58/C58</f>
        <v/>
      </c>
      <c r="K58" s="31" t="n">
        <v>240</v>
      </c>
      <c r="L58" s="8">
        <f>K58/C58</f>
        <v/>
      </c>
      <c r="M58" s="30" t="n">
        <v>4</v>
      </c>
      <c r="N58" s="7">
        <f>M58/C58</f>
        <v/>
      </c>
      <c r="O58" s="6" t="n">
        <v>0</v>
      </c>
      <c r="P58" s="29">
        <f>O58/C58</f>
        <v/>
      </c>
      <c r="Q58" s="13" t="n">
        <v>899</v>
      </c>
      <c r="R58" s="13" t="n">
        <v>1019</v>
      </c>
      <c r="S58" s="13" t="n">
        <v>1019</v>
      </c>
      <c r="T58" s="5">
        <f>Q58/R58</f>
        <v/>
      </c>
      <c r="U58" s="28" t="n">
        <v>2530</v>
      </c>
      <c r="V58" s="27" t="n">
        <v>1518</v>
      </c>
      <c r="W58" s="5">
        <f>Q58/V58</f>
        <v/>
      </c>
      <c r="X58" s="12" t="n"/>
    </row>
    <row r="59" ht="15.75" customHeight="1">
      <c r="A59" s="12" t="n">
        <v>56</v>
      </c>
      <c r="B59" s="12" t="inlineStr">
        <is>
          <t>ГАУЗ «ГБ № 2 г. Миасс»</t>
        </is>
      </c>
      <c r="C59" s="13" t="n">
        <v>3928</v>
      </c>
      <c r="D59" s="13" t="n">
        <v>2345</v>
      </c>
      <c r="E59" s="5">
        <f>D59/C59</f>
        <v/>
      </c>
      <c r="F59" s="33" t="n">
        <v>1066</v>
      </c>
      <c r="G59" s="11">
        <f>F59/C59</f>
        <v/>
      </c>
      <c r="H59" s="10">
        <f>IF(F59&lt;&gt;0,F59/(F59+K59+M59),0)</f>
        <v/>
      </c>
      <c r="I59" s="32" t="n">
        <v>517</v>
      </c>
      <c r="J59" s="9">
        <f>I59/C59</f>
        <v/>
      </c>
      <c r="K59" s="31" t="n">
        <v>342</v>
      </c>
      <c r="L59" s="8">
        <f>K59/C59</f>
        <v/>
      </c>
      <c r="M59" s="30" t="n">
        <v>29</v>
      </c>
      <c r="N59" s="7">
        <f>M59/C59</f>
        <v/>
      </c>
      <c r="O59" s="6" t="n">
        <v>0</v>
      </c>
      <c r="P59" s="29">
        <f>O59/C59</f>
        <v/>
      </c>
      <c r="Q59" s="13" t="n">
        <v>176</v>
      </c>
      <c r="R59" s="13" t="n">
        <v>690</v>
      </c>
      <c r="S59" s="13" t="n">
        <v>783</v>
      </c>
      <c r="T59" s="5">
        <f>Q59/R59</f>
        <v/>
      </c>
      <c r="U59" s="28" t="n">
        <v>7450</v>
      </c>
      <c r="V59" s="27" t="n">
        <v>4470</v>
      </c>
      <c r="W59" s="5">
        <f>Q59/V59</f>
        <v/>
      </c>
      <c r="X59" s="12" t="n"/>
    </row>
    <row r="60" ht="15.75" customHeight="1">
      <c r="A60" s="12" t="n">
        <v>57</v>
      </c>
      <c r="B60" s="12" t="inlineStr">
        <is>
          <t>ГАУЗ «ГБ № 3 г. Миасс»</t>
        </is>
      </c>
      <c r="C60" s="13" t="n">
        <v>550</v>
      </c>
      <c r="D60" s="13" t="n">
        <v>252</v>
      </c>
      <c r="E60" s="5">
        <f>D60/C60</f>
        <v/>
      </c>
      <c r="F60" s="33" t="n">
        <v>185</v>
      </c>
      <c r="G60" s="11">
        <f>F60/C60</f>
        <v/>
      </c>
      <c r="H60" s="10">
        <f>IF(F60&lt;&gt;0,F60/(F60+K60+M60),0)</f>
        <v/>
      </c>
      <c r="I60" s="32" t="n">
        <v>113</v>
      </c>
      <c r="J60" s="9">
        <f>I60/C60</f>
        <v/>
      </c>
      <c r="K60" s="31" t="n">
        <v>92</v>
      </c>
      <c r="L60" s="8">
        <f>K60/C60</f>
        <v/>
      </c>
      <c r="M60" s="30" t="n">
        <v>8</v>
      </c>
      <c r="N60" s="7">
        <f>M60/C60</f>
        <v/>
      </c>
      <c r="O60" s="6" t="n">
        <v>0</v>
      </c>
      <c r="P60" s="29">
        <f>O60/C60</f>
        <v/>
      </c>
      <c r="Q60" s="13" t="n"/>
      <c r="R60" s="13" t="n"/>
      <c r="S60" s="13" t="n"/>
      <c r="T60" s="5">
        <f>Q60/R60</f>
        <v/>
      </c>
      <c r="U60" s="28" t="n">
        <v>1215</v>
      </c>
      <c r="V60" s="27" t="n">
        <v>729</v>
      </c>
      <c r="W60" s="5">
        <f>Q60/V60</f>
        <v/>
      </c>
      <c r="X60" s="12" t="n"/>
    </row>
    <row r="61" ht="15.75" customHeight="1">
      <c r="A61" s="12" t="n">
        <v>58</v>
      </c>
      <c r="B61" s="12" t="inlineStr">
        <is>
          <t>ГБУЗ «ГДП г. Миасс»</t>
        </is>
      </c>
      <c r="C61" s="13" t="n">
        <v>3472</v>
      </c>
      <c r="D61" s="13" t="n">
        <v>1492</v>
      </c>
      <c r="E61" s="5">
        <f>D61/C61</f>
        <v/>
      </c>
      <c r="F61" s="33" t="n">
        <v>1501</v>
      </c>
      <c r="G61" s="11">
        <f>F61/C61</f>
        <v/>
      </c>
      <c r="H61" s="10">
        <f>IF(F61&lt;&gt;0,F61/(F61+K61+M61),0)</f>
        <v/>
      </c>
      <c r="I61" s="32" t="n">
        <v>479</v>
      </c>
      <c r="J61" s="9">
        <f>I61/C61</f>
        <v/>
      </c>
      <c r="K61" s="31" t="n">
        <v>344</v>
      </c>
      <c r="L61" s="8">
        <f>K61/C61</f>
        <v/>
      </c>
      <c r="M61" s="30" t="n">
        <v>9</v>
      </c>
      <c r="N61" s="7">
        <f>M61/C61</f>
        <v/>
      </c>
      <c r="O61" s="6" t="n">
        <v>0</v>
      </c>
      <c r="P61" s="29">
        <f>O61/C61</f>
        <v/>
      </c>
      <c r="Q61" s="13" t="n">
        <v>1130</v>
      </c>
      <c r="R61" s="13" t="n">
        <v>2210</v>
      </c>
      <c r="S61" s="13" t="n">
        <v>2210</v>
      </c>
      <c r="T61" s="5">
        <f>Q61/R61</f>
        <v/>
      </c>
      <c r="U61" s="28" t="n">
        <v>4340</v>
      </c>
      <c r="V61" s="27" t="n">
        <v>2604</v>
      </c>
      <c r="W61" s="5">
        <f>Q61/V61</f>
        <v/>
      </c>
      <c r="X61" s="12" t="n"/>
    </row>
    <row r="62" ht="15.75" customHeight="1">
      <c r="A62" s="12" t="n">
        <v>59</v>
      </c>
      <c r="B62" s="12" t="inlineStr">
        <is>
          <t>ГБУЗ «СП г. Миасс»</t>
        </is>
      </c>
      <c r="C62" s="13" t="n">
        <v>2167</v>
      </c>
      <c r="D62" s="13" t="n">
        <v>377</v>
      </c>
      <c r="E62" s="5">
        <f>D62/C62</f>
        <v/>
      </c>
      <c r="F62" s="33" t="n">
        <v>138</v>
      </c>
      <c r="G62" s="11">
        <f>F62/C62</f>
        <v/>
      </c>
      <c r="H62" s="10">
        <f>IF(F62&lt;&gt;0,F62/(F62+K62+M62),0)</f>
        <v/>
      </c>
      <c r="I62" s="32" t="n">
        <v>1652</v>
      </c>
      <c r="J62" s="9">
        <f>I62/C62</f>
        <v/>
      </c>
      <c r="K62" s="31" t="n">
        <v>1577</v>
      </c>
      <c r="L62" s="8">
        <f>K62/C62</f>
        <v/>
      </c>
      <c r="M62" s="30" t="n">
        <v>46</v>
      </c>
      <c r="N62" s="7">
        <f>M62/C62</f>
        <v/>
      </c>
      <c r="O62" s="6" t="n">
        <v>0</v>
      </c>
      <c r="P62" s="29">
        <f>O62/C62</f>
        <v/>
      </c>
      <c r="Q62" s="13" t="n">
        <v>0</v>
      </c>
      <c r="R62" s="13" t="n">
        <v>0</v>
      </c>
      <c r="S62" s="13" t="n">
        <v>0</v>
      </c>
      <c r="T62" s="5">
        <f>Q62/R62</f>
        <v/>
      </c>
      <c r="U62" s="28" t="n">
        <v>650</v>
      </c>
      <c r="V62" s="27" t="n">
        <v>390</v>
      </c>
      <c r="W62" s="5">
        <f>Q62/V62</f>
        <v/>
      </c>
      <c r="X62" s="12" t="n"/>
    </row>
    <row r="63" ht="15.75" customHeight="1">
      <c r="A63" s="12" t="n">
        <v>60</v>
      </c>
      <c r="B63" s="12" t="inlineStr">
        <is>
          <t>ГБУЗ «РБ с. Миасское»</t>
        </is>
      </c>
      <c r="C63" s="13" t="n">
        <v>163</v>
      </c>
      <c r="D63" s="13" t="n">
        <v>80</v>
      </c>
      <c r="E63" s="5">
        <f>D63/C63</f>
        <v/>
      </c>
      <c r="F63" s="33" t="n">
        <v>58</v>
      </c>
      <c r="G63" s="11">
        <f>F63/C63</f>
        <v/>
      </c>
      <c r="H63" s="10">
        <f>IF(F63&lt;&gt;0,F63/(F63+K63+M63),0)</f>
        <v/>
      </c>
      <c r="I63" s="32" t="n">
        <v>25</v>
      </c>
      <c r="J63" s="9">
        <f>I63/C63</f>
        <v/>
      </c>
      <c r="K63" s="31" t="n">
        <v>22</v>
      </c>
      <c r="L63" s="8">
        <f>K63/C63</f>
        <v/>
      </c>
      <c r="M63" s="30" t="n">
        <v>0</v>
      </c>
      <c r="N63" s="7">
        <f>M63/C63</f>
        <v/>
      </c>
      <c r="O63" s="6" t="n">
        <v>0</v>
      </c>
      <c r="P63" s="29">
        <f>O63/C63</f>
        <v/>
      </c>
      <c r="Q63" s="13" t="n">
        <v>4271</v>
      </c>
      <c r="R63" s="13" t="n">
        <v>8834</v>
      </c>
      <c r="S63" s="13" t="n">
        <v>8834</v>
      </c>
      <c r="T63" s="5">
        <f>Q63/R63</f>
        <v/>
      </c>
      <c r="U63" s="28" t="n">
        <v>4330</v>
      </c>
      <c r="V63" s="27" t="n">
        <v>2598</v>
      </c>
      <c r="W63" s="5">
        <f>Q63/V63</f>
        <v/>
      </c>
      <c r="X63" s="12" t="n"/>
    </row>
    <row r="64" ht="15.75" customHeight="1">
      <c r="A64" s="12" t="n">
        <v>61</v>
      </c>
      <c r="B64" s="12" t="inlineStr">
        <is>
          <t>ГБУЗ «РБ г. Нязепетровск»</t>
        </is>
      </c>
      <c r="C64" s="13" t="n">
        <v>165</v>
      </c>
      <c r="D64" s="13" t="n">
        <v>68</v>
      </c>
      <c r="E64" s="5">
        <f>D64/C64</f>
        <v/>
      </c>
      <c r="F64" s="33" t="n">
        <v>41</v>
      </c>
      <c r="G64" s="11">
        <f>F64/C64</f>
        <v/>
      </c>
      <c r="H64" s="10">
        <f>IF(F64&lt;&gt;0,F64/(F64+K64+M64),0)</f>
        <v/>
      </c>
      <c r="I64" s="32" t="n">
        <v>56</v>
      </c>
      <c r="J64" s="9">
        <f>I64/C64</f>
        <v/>
      </c>
      <c r="K64" s="31" t="n">
        <v>45</v>
      </c>
      <c r="L64" s="8">
        <f>K64/C64</f>
        <v/>
      </c>
      <c r="M64" s="30" t="n">
        <v>0</v>
      </c>
      <c r="N64" s="7">
        <f>M64/C64</f>
        <v/>
      </c>
      <c r="O64" s="6" t="n">
        <v>0</v>
      </c>
      <c r="P64" s="29">
        <f>O64/C64</f>
        <v/>
      </c>
      <c r="Q64" s="13" t="n">
        <v>1718</v>
      </c>
      <c r="R64" s="13" t="n">
        <v>1828</v>
      </c>
      <c r="S64" s="13" t="n">
        <v>1828</v>
      </c>
      <c r="T64" s="5">
        <f>Q64/R64</f>
        <v/>
      </c>
      <c r="U64" s="28" t="n">
        <v>2685</v>
      </c>
      <c r="V64" s="27" t="n">
        <v>1611</v>
      </c>
      <c r="W64" s="5">
        <f>Q64/V64</f>
        <v/>
      </c>
      <c r="X64" s="12" t="n"/>
    </row>
    <row r="65" ht="15.75" customHeight="1">
      <c r="A65" s="12" t="n">
        <v>62</v>
      </c>
      <c r="B65" s="12" t="inlineStr">
        <is>
          <t>ГБУЗ «РБ с. Октябрьское»</t>
        </is>
      </c>
      <c r="C65" s="13" t="n">
        <v>183</v>
      </c>
      <c r="D65" s="13" t="n">
        <v>93</v>
      </c>
      <c r="E65" s="5">
        <f>D65/C65</f>
        <v/>
      </c>
      <c r="F65" s="33" t="n">
        <v>70</v>
      </c>
      <c r="G65" s="11">
        <f>F65/C65</f>
        <v/>
      </c>
      <c r="H65" s="10">
        <f>IF(F65&lt;&gt;0,F65/(F65+K65+M65),0)</f>
        <v/>
      </c>
      <c r="I65" s="32" t="n">
        <v>20</v>
      </c>
      <c r="J65" s="9">
        <f>I65/C65</f>
        <v/>
      </c>
      <c r="K65" s="31" t="n">
        <v>19</v>
      </c>
      <c r="L65" s="8">
        <f>K65/C65</f>
        <v/>
      </c>
      <c r="M65" s="30" t="n">
        <v>0</v>
      </c>
      <c r="N65" s="7">
        <f>M65/C65</f>
        <v/>
      </c>
      <c r="O65" s="6" t="n">
        <v>0</v>
      </c>
      <c r="P65" s="29">
        <f>O65/C65</f>
        <v/>
      </c>
      <c r="Q65" s="13" t="n">
        <v>5994</v>
      </c>
      <c r="R65" s="13" t="n">
        <v>14574</v>
      </c>
      <c r="S65" s="13" t="n">
        <v>14574</v>
      </c>
      <c r="T65" s="5">
        <f>Q65/R65</f>
        <v/>
      </c>
      <c r="U65" s="28" t="n">
        <v>1935</v>
      </c>
      <c r="V65" s="27" t="n">
        <v>1161</v>
      </c>
      <c r="W65" s="5">
        <f>Q65/V65</f>
        <v/>
      </c>
      <c r="X65" s="12" t="n"/>
    </row>
    <row r="66" ht="15.75" customHeight="1">
      <c r="A66" s="12" t="n">
        <v>63</v>
      </c>
      <c r="B66" s="12" t="inlineStr">
        <is>
          <t>ГБУЗ «ГБ г. Пласт»</t>
        </is>
      </c>
      <c r="C66" s="13" t="n">
        <v>392</v>
      </c>
      <c r="D66" s="13" t="n">
        <v>196</v>
      </c>
      <c r="E66" s="5">
        <f>D66/C66</f>
        <v/>
      </c>
      <c r="F66" s="33" t="n">
        <v>152</v>
      </c>
      <c r="G66" s="11">
        <f>F66/C66</f>
        <v/>
      </c>
      <c r="H66" s="10">
        <f>IF(F66&lt;&gt;0,F66/(F66+K66+M66),0)</f>
        <v/>
      </c>
      <c r="I66" s="32" t="n">
        <v>44</v>
      </c>
      <c r="J66" s="9">
        <f>I66/C66</f>
        <v/>
      </c>
      <c r="K66" s="31" t="n">
        <v>34</v>
      </c>
      <c r="L66" s="8">
        <f>K66/C66</f>
        <v/>
      </c>
      <c r="M66" s="30" t="n">
        <v>0</v>
      </c>
      <c r="N66" s="7">
        <f>M66/C66</f>
        <v/>
      </c>
      <c r="O66" s="6" t="n">
        <v>0</v>
      </c>
      <c r="P66" s="29">
        <f>O66/C66</f>
        <v/>
      </c>
      <c r="Q66" s="13" t="n"/>
      <c r="R66" s="13" t="n"/>
      <c r="S66" s="13" t="n"/>
      <c r="T66" s="5">
        <f>Q66/R66</f>
        <v/>
      </c>
      <c r="U66" s="28" t="n">
        <v>3080</v>
      </c>
      <c r="V66" s="27" t="n">
        <v>1848</v>
      </c>
      <c r="W66" s="5">
        <f>Q66/V66</f>
        <v/>
      </c>
      <c r="X66" s="12" t="n"/>
    </row>
    <row r="67" ht="15.75" customHeight="1">
      <c r="A67" s="12" t="n">
        <v>64</v>
      </c>
      <c r="B67" s="12" t="inlineStr">
        <is>
          <t>Областная больница г. Сатка</t>
        </is>
      </c>
      <c r="C67" s="13" t="n">
        <v>3035</v>
      </c>
      <c r="D67" s="13" t="n">
        <v>1290</v>
      </c>
      <c r="E67" s="5">
        <f>D67/C67</f>
        <v/>
      </c>
      <c r="F67" s="33" t="n">
        <v>1157</v>
      </c>
      <c r="G67" s="11">
        <f>F67/C67</f>
        <v/>
      </c>
      <c r="H67" s="10">
        <f>IF(F67&lt;&gt;0,F67/(F67+K67+M67),0)</f>
        <v/>
      </c>
      <c r="I67" s="32" t="n">
        <v>588</v>
      </c>
      <c r="J67" s="9">
        <f>I67/C67</f>
        <v/>
      </c>
      <c r="K67" s="31" t="n">
        <v>494</v>
      </c>
      <c r="L67" s="8">
        <f>K67/C67</f>
        <v/>
      </c>
      <c r="M67" s="30" t="n">
        <v>3</v>
      </c>
      <c r="N67" s="7">
        <f>M67/C67</f>
        <v/>
      </c>
      <c r="O67" s="6" t="n">
        <v>0</v>
      </c>
      <c r="P67" s="29">
        <f>O67/C67</f>
        <v/>
      </c>
      <c r="Q67" s="13" t="n"/>
      <c r="R67" s="13" t="n"/>
      <c r="S67" s="13" t="n"/>
      <c r="T67" s="5">
        <f>Q67/R67</f>
        <v/>
      </c>
      <c r="U67" s="28" t="n">
        <v>9475</v>
      </c>
      <c r="V67" s="27" t="n">
        <v>5685</v>
      </c>
      <c r="W67" s="5">
        <f>Q67/V67</f>
        <v/>
      </c>
      <c r="X67" s="12" t="n"/>
    </row>
    <row r="68" ht="15.75" customHeight="1">
      <c r="A68" s="12" t="n">
        <v>65</v>
      </c>
      <c r="B68" s="12" t="inlineStr">
        <is>
          <t>ГБУЗ «ОБ г. Троицк»</t>
        </is>
      </c>
      <c r="C68" s="13" t="n">
        <v>861</v>
      </c>
      <c r="D68" s="13" t="n">
        <v>436</v>
      </c>
      <c r="E68" s="5">
        <f>D68/C68</f>
        <v/>
      </c>
      <c r="F68" s="33" t="n">
        <v>246</v>
      </c>
      <c r="G68" s="11">
        <f>F68/C68</f>
        <v/>
      </c>
      <c r="H68" s="10">
        <f>IF(F68&lt;&gt;0,F68/(F68+K68+M68),0)</f>
        <v/>
      </c>
      <c r="I68" s="32" t="n">
        <v>179</v>
      </c>
      <c r="J68" s="9">
        <f>I68/C68</f>
        <v/>
      </c>
      <c r="K68" s="31" t="n">
        <v>133</v>
      </c>
      <c r="L68" s="8">
        <f>K68/C68</f>
        <v/>
      </c>
      <c r="M68" s="30" t="n">
        <v>1</v>
      </c>
      <c r="N68" s="7">
        <f>M68/C68</f>
        <v/>
      </c>
      <c r="O68" s="6" t="n">
        <v>0</v>
      </c>
      <c r="P68" s="29">
        <f>O68/C68</f>
        <v/>
      </c>
      <c r="Q68" s="13" t="n">
        <v>1182</v>
      </c>
      <c r="R68" s="13" t="n">
        <v>1182</v>
      </c>
      <c r="S68" s="13" t="n">
        <v>1182</v>
      </c>
      <c r="T68" s="5">
        <f>Q68/R68</f>
        <v/>
      </c>
      <c r="U68" s="28" t="n">
        <v>7125</v>
      </c>
      <c r="V68" s="27" t="n">
        <v>4275</v>
      </c>
      <c r="W68" s="5">
        <f>Q68/V68</f>
        <v/>
      </c>
      <c r="X68" s="12" t="n"/>
    </row>
    <row r="69" ht="15.75" customHeight="1">
      <c r="A69" s="12" t="n">
        <v>66</v>
      </c>
      <c r="B69" s="12" t="inlineStr">
        <is>
          <t>ГБУЗ «РБ п. Увельский»</t>
        </is>
      </c>
      <c r="C69" s="13" t="n">
        <v>1374</v>
      </c>
      <c r="D69" s="13" t="n">
        <v>578</v>
      </c>
      <c r="E69" s="5">
        <f>D69/C69</f>
        <v/>
      </c>
      <c r="F69" s="33" t="n">
        <v>579</v>
      </c>
      <c r="G69" s="11">
        <f>F69/C69</f>
        <v/>
      </c>
      <c r="H69" s="10">
        <f>IF(F69&lt;&gt;0,F69/(F69+K69+M69),0)</f>
        <v/>
      </c>
      <c r="I69" s="32" t="n">
        <v>217</v>
      </c>
      <c r="J69" s="9">
        <f>I69/C69</f>
        <v/>
      </c>
      <c r="K69" s="31" t="n">
        <v>139</v>
      </c>
      <c r="L69" s="8">
        <f>K69/C69</f>
        <v/>
      </c>
      <c r="M69" s="30" t="n">
        <v>3</v>
      </c>
      <c r="N69" s="7">
        <f>M69/C69</f>
        <v/>
      </c>
      <c r="O69" s="6" t="n">
        <v>0</v>
      </c>
      <c r="P69" s="29">
        <f>O69/C69</f>
        <v/>
      </c>
      <c r="Q69" s="13" t="n">
        <v>1246</v>
      </c>
      <c r="R69" s="13" t="n">
        <v>3269</v>
      </c>
      <c r="S69" s="13" t="n">
        <v>3269</v>
      </c>
      <c r="T69" s="5">
        <f>Q69/R69</f>
        <v/>
      </c>
      <c r="U69" s="28" t="n">
        <v>4050</v>
      </c>
      <c r="V69" s="27" t="n">
        <v>2430</v>
      </c>
      <c r="W69" s="5">
        <f>Q69/V69</f>
        <v/>
      </c>
      <c r="X69" s="12" t="n"/>
    </row>
    <row r="70" ht="15.75" customHeight="1">
      <c r="A70" s="12" t="n">
        <v>67</v>
      </c>
      <c r="B70" s="12" t="inlineStr">
        <is>
          <t>ГБУЗ «РБ с. Уйское»</t>
        </is>
      </c>
      <c r="C70" s="13" t="n">
        <v>207</v>
      </c>
      <c r="D70" s="13" t="n">
        <v>82</v>
      </c>
      <c r="E70" s="5">
        <f>D70/C70</f>
        <v/>
      </c>
      <c r="F70" s="33" t="n">
        <v>109</v>
      </c>
      <c r="G70" s="11">
        <f>F70/C70</f>
        <v/>
      </c>
      <c r="H70" s="10">
        <f>IF(F70&lt;&gt;0,F70/(F70+K70+M70),0)</f>
        <v/>
      </c>
      <c r="I70" s="32" t="n">
        <v>16</v>
      </c>
      <c r="J70" s="9">
        <f>I70/C70</f>
        <v/>
      </c>
      <c r="K70" s="31" t="n">
        <v>1</v>
      </c>
      <c r="L70" s="8">
        <f>K70/C70</f>
        <v/>
      </c>
      <c r="M70" s="30" t="n">
        <v>7</v>
      </c>
      <c r="N70" s="7">
        <f>M70/C70</f>
        <v/>
      </c>
      <c r="O70" s="6" t="n">
        <v>0</v>
      </c>
      <c r="P70" s="29">
        <f>O70/C70</f>
        <v/>
      </c>
      <c r="Q70" s="13" t="n">
        <v>1576</v>
      </c>
      <c r="R70" s="13" t="n">
        <v>2470</v>
      </c>
      <c r="S70" s="13" t="n">
        <v>2720</v>
      </c>
      <c r="T70" s="5">
        <f>Q70/R70</f>
        <v/>
      </c>
      <c r="U70" s="28" t="n">
        <v>2760</v>
      </c>
      <c r="V70" s="27" t="n">
        <v>1656</v>
      </c>
      <c r="W70" s="5">
        <f>Q70/V70</f>
        <v/>
      </c>
      <c r="X70" s="12" t="n"/>
    </row>
    <row r="71" ht="15.75" customHeight="1">
      <c r="A71" s="12" t="n">
        <v>68</v>
      </c>
      <c r="B71" s="12" t="inlineStr">
        <is>
          <t>ГБУЗ «РБ с. Фершампенуаз»</t>
        </is>
      </c>
      <c r="C71" s="13" t="n"/>
      <c r="D71" s="13" t="n"/>
      <c r="E71" s="5" t="n"/>
      <c r="F71" s="33" t="n"/>
      <c r="G71" s="11" t="n"/>
      <c r="H71" s="10" t="n"/>
      <c r="I71" s="32" t="n"/>
      <c r="J71" s="9" t="n"/>
      <c r="K71" s="31" t="n"/>
      <c r="L71" s="8" t="n"/>
      <c r="M71" s="30" t="n"/>
      <c r="N71" s="7" t="n"/>
      <c r="O71" s="6" t="n"/>
      <c r="P71" s="29" t="n"/>
      <c r="Q71" s="13" t="n"/>
      <c r="R71" s="13" t="n"/>
      <c r="S71" s="13" t="n"/>
      <c r="T71" s="5" t="n"/>
      <c r="U71" s="28" t="n">
        <v>1625</v>
      </c>
      <c r="V71" s="27" t="n">
        <v>975</v>
      </c>
      <c r="W71" s="5">
        <f>Q71/V71</f>
        <v/>
      </c>
      <c r="X71" s="12" t="n"/>
    </row>
    <row r="72" ht="15.75" customHeight="1">
      <c r="A72" s="12" t="n">
        <v>69</v>
      </c>
      <c r="B72" s="12" t="inlineStr">
        <is>
          <t>ГБУЗ  «Районная больница г. Чебаркуль»</t>
        </is>
      </c>
      <c r="C72" s="13" t="n">
        <v>1572</v>
      </c>
      <c r="D72" s="13" t="n">
        <v>696</v>
      </c>
      <c r="E72" s="5">
        <f>D72/C72</f>
        <v/>
      </c>
      <c r="F72" s="33" t="n">
        <v>622</v>
      </c>
      <c r="G72" s="11">
        <f>F72/C72</f>
        <v/>
      </c>
      <c r="H72" s="10">
        <f>IF(F72&lt;&gt;0,F72/(F72+K72+M72),0)</f>
        <v/>
      </c>
      <c r="I72" s="32" t="n">
        <v>254</v>
      </c>
      <c r="J72" s="9">
        <f>I72/C72</f>
        <v/>
      </c>
      <c r="K72" s="31" t="n">
        <v>187</v>
      </c>
      <c r="L72" s="8">
        <f>K72/C72</f>
        <v/>
      </c>
      <c r="M72" s="30" t="n">
        <v>2</v>
      </c>
      <c r="N72" s="7">
        <f>M72/C72</f>
        <v/>
      </c>
      <c r="O72" s="6" t="n">
        <v>0</v>
      </c>
      <c r="P72" s="29">
        <f>O72/C72</f>
        <v/>
      </c>
      <c r="Q72" s="13" t="n"/>
      <c r="R72" s="13" t="n"/>
      <c r="S72" s="13" t="n"/>
      <c r="T72" s="5">
        <f>Q72/R72</f>
        <v/>
      </c>
      <c r="U72" s="28" t="n">
        <v>6820</v>
      </c>
      <c r="V72" s="27" t="n">
        <v>4092</v>
      </c>
      <c r="W72" s="5">
        <f>Q72/V72</f>
        <v/>
      </c>
      <c r="X72" s="12" t="n"/>
    </row>
    <row r="73" ht="15.75" customHeight="1">
      <c r="A73" s="12" t="n">
        <v>70</v>
      </c>
      <c r="B73" s="12" t="inlineStr">
        <is>
          <t>ГБУЗ «РБ с. Чесма»</t>
        </is>
      </c>
      <c r="C73" s="13" t="n">
        <v>55</v>
      </c>
      <c r="D73" s="13" t="n">
        <v>23</v>
      </c>
      <c r="E73" s="5">
        <f>D73/C73</f>
        <v/>
      </c>
      <c r="F73" s="33" t="n">
        <v>25</v>
      </c>
      <c r="G73" s="11">
        <f>F73/C73</f>
        <v/>
      </c>
      <c r="H73" s="10">
        <f>IF(F73&lt;&gt;0,F73/(F73+K73+M73),0)</f>
        <v/>
      </c>
      <c r="I73" s="32" t="n">
        <v>7</v>
      </c>
      <c r="J73" s="9">
        <f>I73/C73</f>
        <v/>
      </c>
      <c r="K73" s="31" t="n">
        <v>4</v>
      </c>
      <c r="L73" s="8">
        <f>K73/C73</f>
        <v/>
      </c>
      <c r="M73" s="30" t="n">
        <v>0</v>
      </c>
      <c r="N73" s="7">
        <f>M73/C73</f>
        <v/>
      </c>
      <c r="O73" s="6" t="n">
        <v>0</v>
      </c>
      <c r="P73" s="29">
        <f>O73/C73</f>
        <v/>
      </c>
      <c r="Q73" s="13" t="n">
        <v>1825</v>
      </c>
      <c r="R73" s="13" t="n">
        <v>2611</v>
      </c>
      <c r="S73" s="13" t="n">
        <v>2611</v>
      </c>
      <c r="T73" s="5">
        <f>Q73/R73</f>
        <v/>
      </c>
      <c r="U73" s="28" t="n">
        <v>1750</v>
      </c>
      <c r="V73" s="27" t="n">
        <v>1050</v>
      </c>
      <c r="W73" s="5">
        <f>Q73/V73</f>
        <v/>
      </c>
      <c r="X73" s="12" t="n"/>
    </row>
    <row r="74" ht="15.75" customHeight="1">
      <c r="A74" s="12" t="n">
        <v>71</v>
      </c>
      <c r="B74" s="12" t="inlineStr">
        <is>
          <t>ГБУЗ «ГБ г. Южноуральск»</t>
        </is>
      </c>
      <c r="C74" s="13" t="n">
        <v>1309</v>
      </c>
      <c r="D74" s="13" t="n">
        <v>574</v>
      </c>
      <c r="E74" s="5">
        <f>D74/C74</f>
        <v/>
      </c>
      <c r="F74" s="33" t="n">
        <v>601</v>
      </c>
      <c r="G74" s="11">
        <f>F74/C74</f>
        <v/>
      </c>
      <c r="H74" s="10">
        <f>IF(F74&lt;&gt;0,F74/(F74+K74+M74),0)</f>
        <v/>
      </c>
      <c r="I74" s="32" t="n">
        <v>134</v>
      </c>
      <c r="J74" s="9">
        <f>I74/C74</f>
        <v/>
      </c>
      <c r="K74" s="31" t="n">
        <v>94</v>
      </c>
      <c r="L74" s="8">
        <f>K74/C74</f>
        <v/>
      </c>
      <c r="M74" s="30" t="n">
        <v>15</v>
      </c>
      <c r="N74" s="7">
        <f>M74/C74</f>
        <v/>
      </c>
      <c r="O74" s="6" t="n">
        <v>0</v>
      </c>
      <c r="P74" s="29">
        <f>O74/C74</f>
        <v/>
      </c>
      <c r="Q74" s="13" t="n">
        <v>176</v>
      </c>
      <c r="R74" s="13" t="n">
        <v>6236</v>
      </c>
      <c r="S74" s="13" t="n">
        <v>6244</v>
      </c>
      <c r="T74" s="5">
        <f>Q74/R74</f>
        <v/>
      </c>
      <c r="U74" s="28" t="n">
        <v>4395</v>
      </c>
      <c r="V74" s="27" t="n">
        <v>2637</v>
      </c>
      <c r="W74" s="5">
        <f>Q74/V74</f>
        <v/>
      </c>
      <c r="X74" s="12" t="n"/>
    </row>
    <row r="75" ht="15.75" customHeight="1">
      <c r="A75" s="12" t="n">
        <v>72</v>
      </c>
      <c r="B75" s="12" t="inlineStr">
        <is>
          <t>ГАУЗ «СП № 1 г. Челябинск»</t>
        </is>
      </c>
      <c r="C75" s="13" t="n">
        <v>1933</v>
      </c>
      <c r="D75" s="13" t="n">
        <v>187</v>
      </c>
      <c r="E75" s="5">
        <f>D75/C75</f>
        <v/>
      </c>
      <c r="F75" s="33" t="n">
        <v>64</v>
      </c>
      <c r="G75" s="11">
        <f>F75/C75</f>
        <v/>
      </c>
      <c r="H75" s="10">
        <f>IF(F75&lt;&gt;0,F75/(F75+K75+M75),0)</f>
        <v/>
      </c>
      <c r="I75" s="32" t="n">
        <v>1682</v>
      </c>
      <c r="J75" s="9">
        <f>I75/C75</f>
        <v/>
      </c>
      <c r="K75" s="31" t="n">
        <v>1647</v>
      </c>
      <c r="L75" s="8">
        <f>K75/C75</f>
        <v/>
      </c>
      <c r="M75" s="30" t="n">
        <v>2</v>
      </c>
      <c r="N75" s="7">
        <f>M75/C75</f>
        <v/>
      </c>
      <c r="O75" s="6" t="n">
        <v>0</v>
      </c>
      <c r="P75" s="29">
        <f>O75/C75</f>
        <v/>
      </c>
      <c r="Q75" s="13" t="n">
        <v>0</v>
      </c>
      <c r="R75" s="13" t="n">
        <v>0</v>
      </c>
      <c r="S75" s="13" t="n">
        <v>0</v>
      </c>
      <c r="T75" s="5">
        <f>Q75/R75</f>
        <v/>
      </c>
      <c r="U75" s="28" t="n">
        <v>650</v>
      </c>
      <c r="V75" s="27" t="n">
        <v>390</v>
      </c>
      <c r="W75" s="5">
        <f>Q75/V75</f>
        <v/>
      </c>
      <c r="X75" s="12" t="n"/>
    </row>
    <row r="76" ht="15.75" customHeight="1">
      <c r="A76" s="12" t="n">
        <v>73</v>
      </c>
      <c r="B76" s="12" t="inlineStr">
        <is>
          <t>ГАУЗ «СП № 6 г. Челябинск»</t>
        </is>
      </c>
      <c r="C76" s="13" t="n">
        <v>1525</v>
      </c>
      <c r="D76" s="13" t="n">
        <v>432</v>
      </c>
      <c r="E76" s="5">
        <f>D76/C76</f>
        <v/>
      </c>
      <c r="F76" s="33" t="n">
        <v>252</v>
      </c>
      <c r="G76" s="11">
        <f>F76/C76</f>
        <v/>
      </c>
      <c r="H76" s="10">
        <f>IF(F76&lt;&gt;0,F76/(F76+K76+M76),0)</f>
        <v/>
      </c>
      <c r="I76" s="32" t="n">
        <v>841</v>
      </c>
      <c r="J76" s="9">
        <f>I76/C76</f>
        <v/>
      </c>
      <c r="K76" s="31" t="n">
        <v>799</v>
      </c>
      <c r="L76" s="8">
        <f>K76/C76</f>
        <v/>
      </c>
      <c r="M76" s="30" t="n">
        <v>1</v>
      </c>
      <c r="N76" s="7">
        <f>M76/C76</f>
        <v/>
      </c>
      <c r="O76" s="6" t="n">
        <v>0</v>
      </c>
      <c r="P76" s="29">
        <f>O76/C76</f>
        <v/>
      </c>
      <c r="Q76" s="13" t="n">
        <v>0</v>
      </c>
      <c r="R76" s="13" t="n">
        <v>30</v>
      </c>
      <c r="S76" s="13" t="n">
        <v>30</v>
      </c>
      <c r="T76" s="5">
        <f>Q76/R76</f>
        <v/>
      </c>
      <c r="U76" s="28" t="n">
        <v>800</v>
      </c>
      <c r="V76" s="27" t="n">
        <v>480</v>
      </c>
      <c r="W76" s="5">
        <f>Q76/V76</f>
        <v/>
      </c>
      <c r="X76" s="12" t="n"/>
    </row>
    <row r="77" ht="15.75" customHeight="1">
      <c r="A77" s="12" t="n">
        <v>74</v>
      </c>
      <c r="B77" s="12" t="inlineStr">
        <is>
          <t>ГАУЗ ОТКЗ «ГКБ № 1 г. Челябинск»</t>
        </is>
      </c>
      <c r="C77" s="13" t="n">
        <v>3867</v>
      </c>
      <c r="D77" s="13" t="n">
        <v>1983</v>
      </c>
      <c r="E77" s="5">
        <f>D77/C77</f>
        <v/>
      </c>
      <c r="F77" s="33" t="n">
        <v>1392</v>
      </c>
      <c r="G77" s="11">
        <f>F77/C77</f>
        <v/>
      </c>
      <c r="H77" s="10">
        <f>IF(F77&lt;&gt;0,F77/(F77+K77+M77),0)</f>
        <v/>
      </c>
      <c r="I77" s="32" t="n">
        <v>492</v>
      </c>
      <c r="J77" s="9">
        <f>I77/C77</f>
        <v/>
      </c>
      <c r="K77" s="31" t="n">
        <v>336</v>
      </c>
      <c r="L77" s="8">
        <f>K77/C77</f>
        <v/>
      </c>
      <c r="M77" s="30" t="n">
        <v>7</v>
      </c>
      <c r="N77" s="7">
        <f>M77/C77</f>
        <v/>
      </c>
      <c r="O77" s="6" t="n">
        <v>0</v>
      </c>
      <c r="P77" s="29">
        <f>O77/C77</f>
        <v/>
      </c>
      <c r="Q77" s="13" t="n">
        <v>352</v>
      </c>
      <c r="R77" s="13" t="n">
        <v>1037</v>
      </c>
      <c r="S77" s="13" t="n">
        <v>1037</v>
      </c>
      <c r="T77" s="5">
        <f>Q77/R77</f>
        <v/>
      </c>
      <c r="U77" s="28" t="n">
        <v>8515</v>
      </c>
      <c r="V77" s="27" t="n">
        <v>5109</v>
      </c>
      <c r="W77" s="5">
        <f>Q77/V77</f>
        <v/>
      </c>
      <c r="X77" s="12" t="n"/>
    </row>
    <row r="78" ht="15.75" customHeight="1">
      <c r="A78" s="12" t="n">
        <v>75</v>
      </c>
      <c r="B78" s="12" t="inlineStr">
        <is>
          <t>ГАУЗ «ГКБ № 2 г. Челябинск»</t>
        </is>
      </c>
      <c r="C78" s="13" t="n">
        <v>3674</v>
      </c>
      <c r="D78" s="13" t="n">
        <v>1884</v>
      </c>
      <c r="E78" s="5">
        <f>D78/C78</f>
        <v/>
      </c>
      <c r="F78" s="33" t="n">
        <v>1186</v>
      </c>
      <c r="G78" s="11">
        <f>F78/C78</f>
        <v/>
      </c>
      <c r="H78" s="10">
        <f>IF(F78&lt;&gt;0,F78/(F78+K78+M78),0)</f>
        <v/>
      </c>
      <c r="I78" s="32" t="n">
        <v>604</v>
      </c>
      <c r="J78" s="9">
        <f>I78/C78</f>
        <v/>
      </c>
      <c r="K78" s="31" t="n">
        <v>479</v>
      </c>
      <c r="L78" s="8">
        <f>K78/C78</f>
        <v/>
      </c>
      <c r="M78" s="30" t="n">
        <v>9</v>
      </c>
      <c r="N78" s="7">
        <f>M78/C78</f>
        <v/>
      </c>
      <c r="O78" s="6" t="n">
        <v>0</v>
      </c>
      <c r="P78" s="29">
        <f>O78/C78</f>
        <v/>
      </c>
      <c r="Q78" s="13" t="n">
        <v>2034</v>
      </c>
      <c r="R78" s="13" t="n">
        <v>2470</v>
      </c>
      <c r="S78" s="13" t="n">
        <v>2470</v>
      </c>
      <c r="T78" s="5">
        <f>Q78/R78</f>
        <v/>
      </c>
      <c r="U78" s="28" t="n">
        <v>3060</v>
      </c>
      <c r="V78" s="27" t="n">
        <v>1836</v>
      </c>
      <c r="W78" s="5">
        <f>Q78/V78</f>
        <v/>
      </c>
      <c r="X78" s="12" t="n"/>
    </row>
    <row r="79" ht="15.75" customHeight="1">
      <c r="A79" s="12" t="n">
        <v>76</v>
      </c>
      <c r="B79" s="12" t="inlineStr">
        <is>
          <t>ГБУЗ «ГКБ № 5 г. Челябинск»</t>
        </is>
      </c>
      <c r="C79" s="13" t="n">
        <v>2991</v>
      </c>
      <c r="D79" s="13" t="n">
        <v>1386</v>
      </c>
      <c r="E79" s="5">
        <f>D79/C79</f>
        <v/>
      </c>
      <c r="F79" s="33" t="n">
        <v>1277</v>
      </c>
      <c r="G79" s="11">
        <f>F79/C79</f>
        <v/>
      </c>
      <c r="H79" s="10">
        <f>IF(F79&lt;&gt;0,F79/(F79+K79+M79),0)</f>
        <v/>
      </c>
      <c r="I79" s="32" t="n">
        <v>328</v>
      </c>
      <c r="J79" s="9">
        <f>I79/C79</f>
        <v/>
      </c>
      <c r="K79" s="31" t="n">
        <v>170</v>
      </c>
      <c r="L79" s="8">
        <f>K79/C79</f>
        <v/>
      </c>
      <c r="M79" s="30" t="n">
        <v>25</v>
      </c>
      <c r="N79" s="7">
        <f>M79/C79</f>
        <v/>
      </c>
      <c r="O79" s="6" t="n">
        <v>0</v>
      </c>
      <c r="P79" s="29">
        <f>O79/C79</f>
        <v/>
      </c>
      <c r="Q79" s="13" t="n">
        <v>30</v>
      </c>
      <c r="R79" s="13" t="n">
        <v>574</v>
      </c>
      <c r="S79" s="13" t="n">
        <v>635</v>
      </c>
      <c r="T79" s="5">
        <f>Q79/R79</f>
        <v/>
      </c>
      <c r="U79" s="28" t="n">
        <v>4440</v>
      </c>
      <c r="V79" s="27" t="n">
        <v>2664</v>
      </c>
      <c r="W79" s="5">
        <f>Q79/V79</f>
        <v/>
      </c>
      <c r="X79" s="12" t="n"/>
    </row>
    <row r="80" ht="15.75" customHeight="1">
      <c r="A80" s="12" t="n">
        <v>77</v>
      </c>
      <c r="B80" s="12" t="inlineStr">
        <is>
          <t>ГАУЗ «ГКБ № 6 г. Челябинск»</t>
        </is>
      </c>
      <c r="C80" s="13" t="n">
        <v>9176</v>
      </c>
      <c r="D80" s="13" t="n">
        <v>5846</v>
      </c>
      <c r="E80" s="5">
        <f>D80/C80</f>
        <v/>
      </c>
      <c r="F80" s="33" t="n">
        <v>2780</v>
      </c>
      <c r="G80" s="11">
        <f>F80/C80</f>
        <v/>
      </c>
      <c r="H80" s="10">
        <f>IF(F80&lt;&gt;0,F80/(F80+K80+M80),0)</f>
        <v/>
      </c>
      <c r="I80" s="32" t="n">
        <v>550</v>
      </c>
      <c r="J80" s="9">
        <f>I80/C80</f>
        <v/>
      </c>
      <c r="K80" s="31" t="n">
        <v>209</v>
      </c>
      <c r="L80" s="8">
        <f>K80/C80</f>
        <v/>
      </c>
      <c r="M80" s="30" t="n">
        <v>31</v>
      </c>
      <c r="N80" s="7">
        <f>M80/C80</f>
        <v/>
      </c>
      <c r="O80" s="6" t="n">
        <v>0</v>
      </c>
      <c r="P80" s="29">
        <f>O80/C80</f>
        <v/>
      </c>
      <c r="Q80" s="13" t="n">
        <v>0</v>
      </c>
      <c r="R80" s="13" t="n">
        <v>0</v>
      </c>
      <c r="S80" s="13" t="n">
        <v>2109</v>
      </c>
      <c r="T80" s="5">
        <f>Q80/R80</f>
        <v/>
      </c>
      <c r="U80" s="28" t="n">
        <v>7795</v>
      </c>
      <c r="V80" s="27" t="n">
        <v>4677</v>
      </c>
      <c r="W80" s="5">
        <f>Q80/V80</f>
        <v/>
      </c>
      <c r="X80" s="12" t="n"/>
    </row>
    <row r="81" ht="15.75" customHeight="1">
      <c r="A81" s="12" t="n">
        <v>78</v>
      </c>
      <c r="B81" s="12" t="inlineStr">
        <is>
          <t>ГАУЗ ОЗП «ГКБ № 8 г. Челябинск»</t>
        </is>
      </c>
      <c r="C81" s="13" t="n">
        <v>8113</v>
      </c>
      <c r="D81" s="13" t="n">
        <v>4379</v>
      </c>
      <c r="E81" s="5">
        <f>D81/C81</f>
        <v/>
      </c>
      <c r="F81" s="33" t="n">
        <v>2281</v>
      </c>
      <c r="G81" s="11">
        <f>F81/C81</f>
        <v/>
      </c>
      <c r="H81" s="10">
        <f>IF(F81&lt;&gt;0,F81/(F81+K81+M81),0)</f>
        <v/>
      </c>
      <c r="I81" s="32" t="n">
        <v>1453</v>
      </c>
      <c r="J81" s="9">
        <f>I81/C81</f>
        <v/>
      </c>
      <c r="K81" s="31" t="n">
        <v>1209</v>
      </c>
      <c r="L81" s="8">
        <f>K81/C81</f>
        <v/>
      </c>
      <c r="M81" s="30" t="n">
        <v>20</v>
      </c>
      <c r="N81" s="7">
        <f>M81/C81</f>
        <v/>
      </c>
      <c r="O81" s="6" t="n">
        <v>0</v>
      </c>
      <c r="P81" s="29">
        <f>O81/C81</f>
        <v/>
      </c>
      <c r="Q81" s="13" t="n">
        <v>385</v>
      </c>
      <c r="R81" s="13" t="n">
        <v>582</v>
      </c>
      <c r="S81" s="13" t="n">
        <v>947</v>
      </c>
      <c r="T81" s="5">
        <f>Q81/R81</f>
        <v/>
      </c>
      <c r="U81" s="28" t="n">
        <v>7295</v>
      </c>
      <c r="V81" s="27" t="n">
        <v>4377</v>
      </c>
      <c r="W81" s="5">
        <f>Q81/V81</f>
        <v/>
      </c>
      <c r="X81" s="12" t="n"/>
    </row>
    <row r="82" ht="15.75" customHeight="1">
      <c r="A82" s="12" t="n">
        <v>79</v>
      </c>
      <c r="B82" s="12" t="inlineStr">
        <is>
          <t>ГАУЗ «ГКБ № 9 г. Челябинск»</t>
        </is>
      </c>
      <c r="C82" s="13" t="n">
        <v>859</v>
      </c>
      <c r="D82" s="13" t="n">
        <v>433</v>
      </c>
      <c r="E82" s="5">
        <f>D82/C82</f>
        <v/>
      </c>
      <c r="F82" s="33" t="n">
        <v>374</v>
      </c>
      <c r="G82" s="11">
        <f>F82/C82</f>
        <v/>
      </c>
      <c r="H82" s="10">
        <f>IF(F82&lt;&gt;0,F82/(F82+K82+M82),0)</f>
        <v/>
      </c>
      <c r="I82" s="32" t="n">
        <v>52</v>
      </c>
      <c r="J82" s="9">
        <f>I82/C82</f>
        <v/>
      </c>
      <c r="K82" s="31" t="n">
        <v>17</v>
      </c>
      <c r="L82" s="8">
        <f>K82/C82</f>
        <v/>
      </c>
      <c r="M82" s="30" t="n">
        <v>8</v>
      </c>
      <c r="N82" s="7">
        <f>M82/C82</f>
        <v/>
      </c>
      <c r="O82" s="6" t="n">
        <v>0</v>
      </c>
      <c r="P82" s="29">
        <f>O82/C82</f>
        <v/>
      </c>
      <c r="Q82" s="13" t="n">
        <v>396</v>
      </c>
      <c r="R82" s="13" t="n">
        <v>432</v>
      </c>
      <c r="S82" s="13" t="n">
        <v>432</v>
      </c>
      <c r="T82" s="5">
        <f>Q82/R82</f>
        <v/>
      </c>
      <c r="U82" s="28" t="n">
        <v>2805</v>
      </c>
      <c r="V82" s="27" t="n">
        <v>1683</v>
      </c>
      <c r="W82" s="5">
        <f>Q82/V82</f>
        <v/>
      </c>
      <c r="X82" s="12" t="n"/>
    </row>
    <row r="83" ht="15.75" customHeight="1">
      <c r="A83" s="12" t="n">
        <v>80</v>
      </c>
      <c r="B83" s="12" t="inlineStr">
        <is>
          <t>ГАУЗ «ГКБ № 11 г. Челябинск»</t>
        </is>
      </c>
      <c r="C83" s="13" t="n">
        <v>3846</v>
      </c>
      <c r="D83" s="13" t="n">
        <v>1499</v>
      </c>
      <c r="E83" s="5">
        <f>D83/C83</f>
        <v/>
      </c>
      <c r="F83" s="33" t="n">
        <v>1477</v>
      </c>
      <c r="G83" s="11">
        <f>F83/C83</f>
        <v/>
      </c>
      <c r="H83" s="10">
        <f>IF(F83&lt;&gt;0,F83/(F83+K83+M83),0)</f>
        <v/>
      </c>
      <c r="I83" s="32" t="n">
        <v>870</v>
      </c>
      <c r="J83" s="9">
        <f>I83/C83</f>
        <v/>
      </c>
      <c r="K83" s="31" t="n">
        <v>798</v>
      </c>
      <c r="L83" s="8">
        <f>K83/C83</f>
        <v/>
      </c>
      <c r="M83" s="30" t="n">
        <v>5</v>
      </c>
      <c r="N83" s="7">
        <f>M83/C83</f>
        <v/>
      </c>
      <c r="O83" s="6" t="n">
        <v>0</v>
      </c>
      <c r="P83" s="29">
        <f>O83/C83</f>
        <v/>
      </c>
      <c r="Q83" s="13" t="n">
        <v>0</v>
      </c>
      <c r="R83" s="13" t="n">
        <v>124</v>
      </c>
      <c r="S83" s="13" t="n">
        <v>314</v>
      </c>
      <c r="T83" s="5">
        <f>Q83/R83</f>
        <v/>
      </c>
      <c r="U83" s="28" t="n">
        <v>5035</v>
      </c>
      <c r="V83" s="27" t="n">
        <v>3021</v>
      </c>
      <c r="W83" s="5">
        <f>Q83/V83</f>
        <v/>
      </c>
      <c r="X83" s="12" t="n"/>
    </row>
    <row r="84" ht="15.75" customHeight="1">
      <c r="A84" s="12" t="n">
        <v>81</v>
      </c>
      <c r="B84" s="12" t="inlineStr">
        <is>
          <t>ГБУЗ «ГКП № 5 г. Челябинск»</t>
        </is>
      </c>
      <c r="C84" s="13" t="n">
        <v>5681</v>
      </c>
      <c r="D84" s="13" t="n">
        <v>2485</v>
      </c>
      <c r="E84" s="5">
        <f>D84/C84</f>
        <v/>
      </c>
      <c r="F84" s="33" t="n">
        <v>2166</v>
      </c>
      <c r="G84" s="11">
        <f>F84/C84</f>
        <v/>
      </c>
      <c r="H84" s="10">
        <f>IF(F84&lt;&gt;0,F84/(F84+K84+M84),0)</f>
        <v/>
      </c>
      <c r="I84" s="32" t="n">
        <v>1030</v>
      </c>
      <c r="J84" s="9">
        <f>I84/C84</f>
        <v/>
      </c>
      <c r="K84" s="31" t="n">
        <v>924</v>
      </c>
      <c r="L84" s="8">
        <f>K84/C84</f>
        <v/>
      </c>
      <c r="M84" s="30" t="n">
        <v>12</v>
      </c>
      <c r="N84" s="7">
        <f>M84/C84</f>
        <v/>
      </c>
      <c r="O84" s="6" t="n">
        <v>0</v>
      </c>
      <c r="P84" s="29">
        <f>O84/C84</f>
        <v/>
      </c>
      <c r="Q84" s="13" t="n">
        <v>0</v>
      </c>
      <c r="R84" s="13" t="n">
        <v>110</v>
      </c>
      <c r="S84" s="13" t="n">
        <v>166</v>
      </c>
      <c r="T84" s="5">
        <f>Q84/R84</f>
        <v/>
      </c>
      <c r="U84" s="28" t="n">
        <v>4065</v>
      </c>
      <c r="V84" s="27" t="n">
        <v>2439</v>
      </c>
      <c r="W84" s="5">
        <f>Q84/V84</f>
        <v/>
      </c>
      <c r="X84" s="12" t="n"/>
    </row>
    <row r="85" ht="15.75" customHeight="1">
      <c r="A85" s="12" t="n">
        <v>82</v>
      </c>
      <c r="B85" s="12" t="inlineStr">
        <is>
          <t>ГАУЗ «ГКП № 8 г. Челябинск»</t>
        </is>
      </c>
      <c r="C85" s="13" t="n">
        <v>2838</v>
      </c>
      <c r="D85" s="13" t="n">
        <v>1889</v>
      </c>
      <c r="E85" s="5">
        <f>D85/C85</f>
        <v/>
      </c>
      <c r="F85" s="33" t="n">
        <v>553</v>
      </c>
      <c r="G85" s="11">
        <f>F85/C85</f>
        <v/>
      </c>
      <c r="H85" s="10">
        <f>IF(F85&lt;&gt;0,F85/(F85+K85+M85),0)</f>
        <v/>
      </c>
      <c r="I85" s="32" t="n">
        <v>396</v>
      </c>
      <c r="J85" s="9">
        <f>I85/C85</f>
        <v/>
      </c>
      <c r="K85" s="31" t="n">
        <v>332</v>
      </c>
      <c r="L85" s="8">
        <f>K85/C85</f>
        <v/>
      </c>
      <c r="M85" s="30" t="n">
        <v>6</v>
      </c>
      <c r="N85" s="7">
        <f>M85/C85</f>
        <v/>
      </c>
      <c r="O85" s="6" t="n">
        <v>0</v>
      </c>
      <c r="P85" s="29">
        <f>O85/C85</f>
        <v/>
      </c>
      <c r="Q85" s="13" t="n">
        <v>0</v>
      </c>
      <c r="R85" s="13" t="n">
        <v>52</v>
      </c>
      <c r="S85" s="13" t="n">
        <v>5849</v>
      </c>
      <c r="T85" s="5">
        <f>Q85/R85</f>
        <v/>
      </c>
      <c r="U85" s="28" t="n">
        <v>5285</v>
      </c>
      <c r="V85" s="27" t="n">
        <v>3171</v>
      </c>
      <c r="W85" s="5">
        <f>Q85/V85</f>
        <v/>
      </c>
      <c r="X85" s="12" t="n"/>
    </row>
    <row r="86" ht="15.75" customHeight="1">
      <c r="A86" s="12" t="n">
        <v>83</v>
      </c>
      <c r="B86" s="12" t="inlineStr">
        <is>
          <t>ГАУЗ «ДГКБ № 1 г. Челябинск»</t>
        </is>
      </c>
      <c r="C86" s="13" t="n">
        <v>9782</v>
      </c>
      <c r="D86" s="13" t="n">
        <v>5122</v>
      </c>
      <c r="E86" s="5">
        <f>D86/C86</f>
        <v/>
      </c>
      <c r="F86" s="33" t="n">
        <v>3860</v>
      </c>
      <c r="G86" s="11">
        <f>F86/C86</f>
        <v/>
      </c>
      <c r="H86" s="10">
        <f>IF(F86&lt;&gt;0,F86/(F86+K86+M86),0)</f>
        <v/>
      </c>
      <c r="I86" s="32" t="n">
        <v>800</v>
      </c>
      <c r="J86" s="9">
        <f>I86/C86</f>
        <v/>
      </c>
      <c r="K86" s="31" t="n">
        <v>390</v>
      </c>
      <c r="L86" s="8">
        <f>K86/C86</f>
        <v/>
      </c>
      <c r="M86" s="30" t="n">
        <v>42</v>
      </c>
      <c r="N86" s="7">
        <f>M86/C86</f>
        <v/>
      </c>
      <c r="O86" s="6" t="n">
        <v>0</v>
      </c>
      <c r="P86" s="29">
        <f>O86/C86</f>
        <v/>
      </c>
      <c r="Q86" s="13" t="n">
        <v>2776</v>
      </c>
      <c r="R86" s="13" t="n">
        <v>4361</v>
      </c>
      <c r="S86" s="13" t="n">
        <v>4367</v>
      </c>
      <c r="T86" s="5">
        <f>Q86/R86</f>
        <v/>
      </c>
      <c r="U86" s="28" t="n">
        <v>8510</v>
      </c>
      <c r="V86" s="27" t="n">
        <v>5106</v>
      </c>
      <c r="W86" s="5">
        <f>Q86/V86</f>
        <v/>
      </c>
      <c r="X86" s="12" t="n"/>
    </row>
    <row r="87" ht="15.75" customHeight="1">
      <c r="A87" s="12" t="n">
        <v>84</v>
      </c>
      <c r="B87" s="12" t="inlineStr">
        <is>
          <t>ГБУЗ «ДГКБ № 7 г. Челябинск»</t>
        </is>
      </c>
      <c r="C87" s="13" t="n">
        <v>4765</v>
      </c>
      <c r="D87" s="13" t="n">
        <v>2538</v>
      </c>
      <c r="E87" s="5">
        <f>D87/C87</f>
        <v/>
      </c>
      <c r="F87" s="33" t="n">
        <v>1543</v>
      </c>
      <c r="G87" s="11">
        <f>F87/C87</f>
        <v/>
      </c>
      <c r="H87" s="10">
        <f>IF(F87&lt;&gt;0,F87/(F87+K87+M87),0)</f>
        <v/>
      </c>
      <c r="I87" s="32" t="n">
        <v>684</v>
      </c>
      <c r="J87" s="9">
        <f>I87/C87</f>
        <v/>
      </c>
      <c r="K87" s="31" t="n">
        <v>516</v>
      </c>
      <c r="L87" s="8">
        <f>K87/C87</f>
        <v/>
      </c>
      <c r="M87" s="30" t="n">
        <v>10</v>
      </c>
      <c r="N87" s="7">
        <f>M87/C87</f>
        <v/>
      </c>
      <c r="O87" s="6" t="n">
        <v>0</v>
      </c>
      <c r="P87" s="29">
        <f>O87/C87</f>
        <v/>
      </c>
      <c r="Q87" s="13" t="n">
        <v>464</v>
      </c>
      <c r="R87" s="13" t="n">
        <v>464</v>
      </c>
      <c r="S87" s="13" t="n">
        <v>464</v>
      </c>
      <c r="T87" s="5">
        <f>Q87/R87</f>
        <v/>
      </c>
      <c r="U87" s="28" t="n">
        <v>4305</v>
      </c>
      <c r="V87" s="27" t="n">
        <v>2583</v>
      </c>
      <c r="W87" s="5">
        <f>Q87/V87</f>
        <v/>
      </c>
      <c r="X87" s="12" t="n"/>
    </row>
    <row r="88" ht="15.75" customHeight="1">
      <c r="A88" s="12" t="n">
        <v>85</v>
      </c>
      <c r="B88" s="12" t="inlineStr">
        <is>
          <t>ГАУЗ «ДГКБ № 8 г. Челябинск»</t>
        </is>
      </c>
      <c r="C88" s="13" t="n">
        <v>6868</v>
      </c>
      <c r="D88" s="13" t="n">
        <v>3949</v>
      </c>
      <c r="E88" s="5">
        <f>D88/C88</f>
        <v/>
      </c>
      <c r="F88" s="33" t="n">
        <v>2140</v>
      </c>
      <c r="G88" s="11">
        <f>F88/C88</f>
        <v/>
      </c>
      <c r="H88" s="10">
        <f>IF(F88&lt;&gt;0,F88/(F88+K88+M88),0)</f>
        <v/>
      </c>
      <c r="I88" s="32" t="n">
        <v>779</v>
      </c>
      <c r="J88" s="9">
        <f>I88/C88</f>
        <v/>
      </c>
      <c r="K88" s="31" t="n">
        <v>597</v>
      </c>
      <c r="L88" s="8">
        <f>K88/C88</f>
        <v/>
      </c>
      <c r="M88" s="30" t="n">
        <v>26</v>
      </c>
      <c r="N88" s="7">
        <f>M88/C88</f>
        <v/>
      </c>
      <c r="O88" s="6" t="n">
        <v>0</v>
      </c>
      <c r="P88" s="29">
        <f>O88/C88</f>
        <v/>
      </c>
      <c r="Q88" s="13" t="n">
        <v>20</v>
      </c>
      <c r="R88" s="13" t="n">
        <v>20</v>
      </c>
      <c r="S88" s="13" t="n">
        <v>20</v>
      </c>
      <c r="T88" s="5">
        <f>Q88/R88</f>
        <v/>
      </c>
      <c r="U88" s="28" t="n">
        <v>3990</v>
      </c>
      <c r="V88" s="27" t="n">
        <v>2394</v>
      </c>
      <c r="W88" s="5">
        <f>Q88/V88</f>
        <v/>
      </c>
      <c r="X88" s="12" t="n"/>
    </row>
    <row r="89" ht="15.75" customHeight="1">
      <c r="A89" s="12" t="n">
        <v>86</v>
      </c>
      <c r="B89" s="12" t="inlineStr">
        <is>
          <t>ГАУЗ «ДГКП № 1 г. Челябинск»</t>
        </is>
      </c>
      <c r="C89" s="13" t="n">
        <v>5837</v>
      </c>
      <c r="D89" s="13" t="n">
        <v>2962</v>
      </c>
      <c r="E89" s="5">
        <f>D89/C89</f>
        <v/>
      </c>
      <c r="F89" s="33" t="n">
        <v>2389</v>
      </c>
      <c r="G89" s="11">
        <f>F89/C89</f>
        <v/>
      </c>
      <c r="H89" s="10">
        <f>IF(F89&lt;&gt;0,F89/(F89+K89+M89),0)</f>
        <v/>
      </c>
      <c r="I89" s="32" t="n">
        <v>486</v>
      </c>
      <c r="J89" s="9">
        <f>I89/C89</f>
        <v/>
      </c>
      <c r="K89" s="31" t="n">
        <v>213</v>
      </c>
      <c r="L89" s="8">
        <f>K89/C89</f>
        <v/>
      </c>
      <c r="M89" s="30" t="n">
        <v>21</v>
      </c>
      <c r="N89" s="7">
        <f>M89/C89</f>
        <v/>
      </c>
      <c r="O89" s="6" t="n">
        <v>0</v>
      </c>
      <c r="P89" s="29">
        <f>O89/C89</f>
        <v/>
      </c>
      <c r="Q89" s="13" t="n">
        <v>808</v>
      </c>
      <c r="R89" s="13" t="n">
        <v>16690</v>
      </c>
      <c r="S89" s="13" t="n">
        <v>16690</v>
      </c>
      <c r="T89" s="5">
        <f>Q89/R89</f>
        <v/>
      </c>
      <c r="U89" s="28" t="n">
        <v>4590</v>
      </c>
      <c r="V89" s="27" t="n">
        <v>2754</v>
      </c>
      <c r="W89" s="5">
        <f>Q89/V89</f>
        <v/>
      </c>
      <c r="X89" s="12" t="n"/>
    </row>
    <row r="90" ht="15.75" customHeight="1">
      <c r="A90" s="12" t="n">
        <v>87</v>
      </c>
      <c r="B90" s="12" t="inlineStr">
        <is>
          <t>ГАУЗ «ДГП № 4 г. Челябинск»</t>
        </is>
      </c>
      <c r="C90" s="13" t="n">
        <v>4841</v>
      </c>
      <c r="D90" s="13" t="n">
        <v>2143</v>
      </c>
      <c r="E90" s="5">
        <f>D90/C90</f>
        <v/>
      </c>
      <c r="F90" s="33" t="n">
        <v>1580</v>
      </c>
      <c r="G90" s="11">
        <f>F90/C90</f>
        <v/>
      </c>
      <c r="H90" s="10">
        <f>IF(F90&lt;&gt;0,F90/(F90+K90+M90),0)</f>
        <v/>
      </c>
      <c r="I90" s="32" t="n">
        <v>1118</v>
      </c>
      <c r="J90" s="9">
        <f>I90/C90</f>
        <v/>
      </c>
      <c r="K90" s="31" t="n">
        <v>955</v>
      </c>
      <c r="L90" s="8">
        <f>K90/C90</f>
        <v/>
      </c>
      <c r="M90" s="30" t="n">
        <v>10</v>
      </c>
      <c r="N90" s="7">
        <f>M90/C90</f>
        <v/>
      </c>
      <c r="O90" s="6" t="n">
        <v>0</v>
      </c>
      <c r="P90" s="29">
        <f>O90/C90</f>
        <v/>
      </c>
      <c r="Q90" s="13" t="n">
        <v>99</v>
      </c>
      <c r="R90" s="13" t="n">
        <v>99</v>
      </c>
      <c r="S90" s="13" t="n">
        <v>99</v>
      </c>
      <c r="T90" s="5">
        <f>Q90/R90</f>
        <v/>
      </c>
      <c r="U90" s="28" t="n">
        <v>4455</v>
      </c>
      <c r="V90" s="27" t="n">
        <v>2673</v>
      </c>
      <c r="W90" s="5">
        <f>Q90/V90</f>
        <v/>
      </c>
      <c r="X90" s="12" t="n"/>
    </row>
    <row r="91" ht="15.75" customHeight="1">
      <c r="A91" s="12" t="n">
        <v>88</v>
      </c>
      <c r="B91" s="12" t="inlineStr">
        <is>
          <t>ГАУЗ «ДГКП № 6 г. Челябинск»</t>
        </is>
      </c>
      <c r="C91" s="13" t="n">
        <v>2905</v>
      </c>
      <c r="D91" s="13" t="n">
        <v>1295</v>
      </c>
      <c r="E91" s="5">
        <f>D91/C91</f>
        <v/>
      </c>
      <c r="F91" s="33" t="n">
        <v>1426</v>
      </c>
      <c r="G91" s="11">
        <f>F91/C91</f>
        <v/>
      </c>
      <c r="H91" s="10">
        <f>IF(F91&lt;&gt;0,F91/(F91+K91+M91),0)</f>
        <v/>
      </c>
      <c r="I91" s="32" t="n">
        <v>184</v>
      </c>
      <c r="J91" s="9">
        <f>I91/C91</f>
        <v/>
      </c>
      <c r="K91" s="31" t="n">
        <v>30</v>
      </c>
      <c r="L91" s="8">
        <f>K91/C91</f>
        <v/>
      </c>
      <c r="M91" s="30" t="n">
        <v>7</v>
      </c>
      <c r="N91" s="7">
        <f>M91/C91</f>
        <v/>
      </c>
      <c r="O91" s="6" t="n">
        <v>0</v>
      </c>
      <c r="P91" s="29">
        <f>O91/C91</f>
        <v/>
      </c>
      <c r="Q91" s="13" t="n">
        <v>702</v>
      </c>
      <c r="R91" s="13" t="n">
        <v>972</v>
      </c>
      <c r="S91" s="13" t="n">
        <v>972</v>
      </c>
      <c r="T91" s="5">
        <f>Q91/R91</f>
        <v/>
      </c>
      <c r="U91" s="28" t="n">
        <v>3780</v>
      </c>
      <c r="V91" s="27" t="n">
        <v>2268</v>
      </c>
      <c r="W91" s="5">
        <f>Q91/V91</f>
        <v/>
      </c>
      <c r="X91" s="12" t="n"/>
    </row>
    <row r="92" ht="15.75" customHeight="1">
      <c r="A92" s="12" t="n">
        <v>89</v>
      </c>
      <c r="B92" s="12" t="inlineStr">
        <is>
          <t>ГАУЗ «ДГКП № 8 им.А.Невского г. Челябинск»</t>
        </is>
      </c>
      <c r="C92" s="13" t="n">
        <v>10596</v>
      </c>
      <c r="D92" s="13" t="n">
        <v>5390</v>
      </c>
      <c r="E92" s="5">
        <f>D92/C92</f>
        <v/>
      </c>
      <c r="F92" s="33" t="n">
        <v>3579</v>
      </c>
      <c r="G92" s="11">
        <f>F92/C92</f>
        <v/>
      </c>
      <c r="H92" s="10">
        <f>IF(F92&lt;&gt;0,F92/(F92+K92+M92),0)</f>
        <v/>
      </c>
      <c r="I92" s="32" t="n">
        <v>1627</v>
      </c>
      <c r="J92" s="9">
        <f>I92/C92</f>
        <v/>
      </c>
      <c r="K92" s="31" t="n">
        <v>1185</v>
      </c>
      <c r="L92" s="8">
        <f>K92/C92</f>
        <v/>
      </c>
      <c r="M92" s="30" t="n">
        <v>49</v>
      </c>
      <c r="N92" s="7">
        <f>M92/C92</f>
        <v/>
      </c>
      <c r="O92" s="6" t="n">
        <v>0</v>
      </c>
      <c r="P92" s="29">
        <f>O92/C92</f>
        <v/>
      </c>
      <c r="Q92" s="13" t="n">
        <v>267</v>
      </c>
      <c r="R92" s="13" t="n">
        <v>299</v>
      </c>
      <c r="S92" s="13" t="n">
        <v>299</v>
      </c>
      <c r="T92" s="5">
        <f>Q92/R92</f>
        <v/>
      </c>
      <c r="U92" s="28" t="n">
        <v>7965</v>
      </c>
      <c r="V92" s="27" t="n">
        <v>4779</v>
      </c>
      <c r="W92" s="5">
        <f>Q92/V92</f>
        <v/>
      </c>
      <c r="X92" s="12" t="n"/>
    </row>
    <row r="93" ht="15.75" customHeight="1">
      <c r="A93" s="12" t="n">
        <v>90</v>
      </c>
      <c r="B93" s="12" t="inlineStr">
        <is>
          <t>ГАУЗ ДГКП № 9 г. Челябинск</t>
        </is>
      </c>
      <c r="C93" s="13" t="n">
        <v>4606</v>
      </c>
      <c r="D93" s="13" t="n">
        <v>2073</v>
      </c>
      <c r="E93" s="5">
        <f>D93/C93</f>
        <v/>
      </c>
      <c r="F93" s="33" t="n">
        <v>1588</v>
      </c>
      <c r="G93" s="11">
        <f>F93/C93</f>
        <v/>
      </c>
      <c r="H93" s="10">
        <f>IF(F93&lt;&gt;0,F93/(F93+K93+M93),0)</f>
        <v/>
      </c>
      <c r="I93" s="32" t="n">
        <v>945</v>
      </c>
      <c r="J93" s="9">
        <f>I93/C93</f>
        <v/>
      </c>
      <c r="K93" s="31" t="n">
        <v>724</v>
      </c>
      <c r="L93" s="8">
        <f>K93/C93</f>
        <v/>
      </c>
      <c r="M93" s="30" t="n">
        <v>22</v>
      </c>
      <c r="N93" s="7">
        <f>M93/C93</f>
        <v/>
      </c>
      <c r="O93" s="6" t="n">
        <v>0</v>
      </c>
      <c r="P93" s="29">
        <f>O93/C93</f>
        <v/>
      </c>
      <c r="Q93" s="13" t="n">
        <v>12</v>
      </c>
      <c r="R93" s="13" t="n">
        <v>125</v>
      </c>
      <c r="S93" s="13" t="n">
        <v>125</v>
      </c>
      <c r="T93" s="5">
        <f>Q93/R93</f>
        <v/>
      </c>
      <c r="U93" s="28" t="n">
        <v>3280</v>
      </c>
      <c r="V93" s="27" t="n">
        <v>1968</v>
      </c>
      <c r="W93" s="5">
        <f>Q93/V93</f>
        <v/>
      </c>
      <c r="X93" s="12" t="n"/>
    </row>
    <row r="94" ht="15.75" customHeight="1">
      <c r="C94" s="26" t="n"/>
      <c r="E94" s="4" t="n"/>
    </row>
    <row r="95" ht="15.75" customHeight="1">
      <c r="B95" s="1" t="inlineStr">
        <is>
          <t>Итог</t>
        </is>
      </c>
      <c r="C95" s="26">
        <f>SUM(C4:C93)</f>
        <v/>
      </c>
      <c r="D95" s="1">
        <f>SUM(D4:D93)</f>
        <v/>
      </c>
      <c r="E95" s="3">
        <f>D95/C95</f>
        <v/>
      </c>
      <c r="F95" s="1">
        <f>SUM(F4:F93)</f>
        <v/>
      </c>
      <c r="G95" s="3">
        <f>F95/C95</f>
        <v/>
      </c>
      <c r="H95" s="2">
        <f>F95/(C95-D95-O95)</f>
        <v/>
      </c>
      <c r="I95" s="1">
        <f>SUM(I4:I93)</f>
        <v/>
      </c>
      <c r="J95" s="1">
        <f>I95/C95</f>
        <v/>
      </c>
      <c r="K95" s="1">
        <f>SUM(K4:K93)</f>
        <v/>
      </c>
      <c r="L95" s="1">
        <f>K95/C95</f>
        <v/>
      </c>
      <c r="M95" s="1">
        <f>SUM(M4:M93)</f>
        <v/>
      </c>
      <c r="N95" s="1">
        <f>M95/C95</f>
        <v/>
      </c>
      <c r="O95" s="1">
        <f>SUM(O4:O93)</f>
        <v/>
      </c>
      <c r="P95" s="1">
        <f>O95/C95</f>
        <v/>
      </c>
      <c r="Q95" s="1">
        <f>SUM(Q4:Q93)</f>
        <v/>
      </c>
      <c r="R95" s="1">
        <f>SUM(R4:R93)</f>
        <v/>
      </c>
      <c r="S95" s="1">
        <f>SUM(S4:S93)</f>
        <v/>
      </c>
      <c r="T95" s="1">
        <f>Q95/R95</f>
        <v/>
      </c>
    </row>
    <row r="96" ht="15.75" customHeight="1">
      <c r="C96" s="26" t="n"/>
      <c r="Q96" s="1">
        <f>SUM(Q4,Q5,Q20:Q93)</f>
        <v/>
      </c>
      <c r="R96" s="1">
        <f>SUM(R4,R5,R20:R93)</f>
        <v/>
      </c>
      <c r="S96" s="1">
        <f>SUM(S4,S5,S20:S93)</f>
        <v/>
      </c>
      <c r="T96" s="1">
        <f>Q96/R96</f>
        <v/>
      </c>
    </row>
    <row r="97" ht="15.75" customHeight="1">
      <c r="C97" s="26" t="n"/>
    </row>
    <row r="98" ht="15.75" customHeight="1">
      <c r="C98" s="26" t="n"/>
    </row>
    <row r="99" ht="15.75" customHeight="1">
      <c r="C99" s="26" t="n"/>
    </row>
    <row r="100" ht="15.75" customHeight="1">
      <c r="C100" s="26" t="n"/>
    </row>
    <row r="101" ht="15.75" customHeight="1">
      <c r="C101" s="26" t="n"/>
    </row>
    <row r="102" ht="15.75" customHeight="1">
      <c r="C102" s="26" t="n"/>
    </row>
    <row r="103" ht="15.75" customHeight="1">
      <c r="C103" s="26" t="n"/>
    </row>
    <row r="104" ht="15.75" customHeight="1">
      <c r="C104" s="26" t="n"/>
    </row>
    <row r="105" ht="15.75" customHeight="1">
      <c r="C105" s="26" t="n"/>
    </row>
    <row r="106" ht="15.75" customHeight="1">
      <c r="C106" s="26" t="n"/>
    </row>
    <row r="107" ht="15.75" customHeight="1">
      <c r="C107" s="26" t="n"/>
    </row>
    <row r="108" ht="15.75" customHeight="1">
      <c r="C108" s="26" t="n"/>
    </row>
    <row r="109" ht="15.75" customHeight="1">
      <c r="C109" s="26" t="n"/>
    </row>
    <row r="110" ht="15.75" customHeight="1">
      <c r="C110" s="26" t="n"/>
    </row>
    <row r="111" ht="15.75" customHeight="1">
      <c r="C111" s="26" t="n"/>
    </row>
    <row r="112" ht="15.75" customHeight="1">
      <c r="C112" s="26" t="n"/>
    </row>
    <row r="113" ht="15.75" customHeight="1">
      <c r="C113" s="26" t="n"/>
    </row>
    <row r="114" ht="15.75" customHeight="1">
      <c r="C114" s="26" t="n"/>
    </row>
    <row r="115" ht="15.75" customHeight="1">
      <c r="C115" s="26" t="n"/>
    </row>
    <row r="116" ht="15.75" customHeight="1">
      <c r="C116" s="26" t="n"/>
    </row>
    <row r="117" ht="15.75" customHeight="1">
      <c r="C117" s="26" t="n"/>
    </row>
    <row r="118" ht="15.75" customHeight="1">
      <c r="C118" s="26" t="n"/>
    </row>
    <row r="119" ht="15.75" customHeight="1">
      <c r="C119" s="26" t="n"/>
    </row>
    <row r="120" ht="15.75" customHeight="1">
      <c r="C120" s="26" t="n"/>
    </row>
    <row r="121" ht="15.75" customHeight="1">
      <c r="C121" s="26" t="n"/>
    </row>
    <row r="122" ht="15.75" customHeight="1">
      <c r="C122" s="26" t="n"/>
    </row>
    <row r="123" ht="15.75" customHeight="1">
      <c r="C123" s="26" t="n"/>
    </row>
    <row r="124" ht="15.75" customHeight="1">
      <c r="C124" s="26" t="n"/>
    </row>
    <row r="125" ht="15.75" customHeight="1">
      <c r="C125" s="26" t="n"/>
    </row>
    <row r="126" ht="15.75" customHeight="1">
      <c r="C126" s="26" t="n"/>
    </row>
    <row r="127" ht="15.75" customHeight="1">
      <c r="C127" s="26" t="n"/>
    </row>
    <row r="128" ht="15.75" customHeight="1">
      <c r="C128" s="26" t="n"/>
    </row>
    <row r="129" ht="15.75" customHeight="1">
      <c r="C129" s="26" t="n"/>
    </row>
    <row r="130" ht="15.75" customHeight="1">
      <c r="C130" s="26" t="n"/>
    </row>
    <row r="131" ht="15.75" customHeight="1">
      <c r="C131" s="26" t="n"/>
    </row>
    <row r="132" ht="15.75" customHeight="1">
      <c r="C132" s="26" t="n"/>
    </row>
    <row r="133" ht="15.75" customHeight="1">
      <c r="C133" s="26" t="n"/>
    </row>
    <row r="134" ht="15.75" customHeight="1">
      <c r="C134" s="26" t="n"/>
    </row>
    <row r="135" ht="15.75" customHeight="1">
      <c r="C135" s="26" t="n"/>
    </row>
    <row r="136" ht="15.75" customHeight="1">
      <c r="C136" s="26" t="n"/>
    </row>
    <row r="137" ht="15.75" customHeight="1">
      <c r="C137" s="26" t="n"/>
    </row>
    <row r="138" ht="15.75" customHeight="1">
      <c r="C138" s="26" t="n"/>
    </row>
    <row r="139" ht="15.75" customHeight="1">
      <c r="C139" s="26" t="n"/>
    </row>
    <row r="140" ht="15.75" customHeight="1">
      <c r="C140" s="26" t="n"/>
    </row>
    <row r="141" ht="15.75" customHeight="1">
      <c r="C141" s="26" t="n"/>
    </row>
    <row r="142" ht="15.75" customHeight="1">
      <c r="C142" s="26" t="n"/>
    </row>
    <row r="143" ht="15.75" customHeight="1">
      <c r="C143" s="26" t="n"/>
    </row>
    <row r="144" ht="15.75" customHeight="1">
      <c r="C144" s="26" t="n"/>
    </row>
    <row r="145" ht="15.75" customHeight="1">
      <c r="C145" s="26" t="n"/>
    </row>
    <row r="146" ht="15.75" customHeight="1">
      <c r="C146" s="26" t="n"/>
    </row>
    <row r="147" ht="15.75" customHeight="1">
      <c r="C147" s="26" t="n"/>
    </row>
    <row r="148" ht="15.75" customHeight="1">
      <c r="C148" s="26" t="n"/>
    </row>
    <row r="149" ht="15.75" customHeight="1">
      <c r="C149" s="26" t="n"/>
    </row>
    <row r="150" ht="15.75" customHeight="1">
      <c r="C150" s="26" t="n"/>
    </row>
    <row r="151" ht="15.75" customHeight="1">
      <c r="C151" s="26" t="n"/>
    </row>
    <row r="152" ht="15.75" customHeight="1">
      <c r="C152" s="26" t="n"/>
    </row>
    <row r="153" ht="15.75" customHeight="1">
      <c r="C153" s="26" t="n"/>
    </row>
    <row r="154" ht="15.75" customHeight="1">
      <c r="C154" s="26" t="n"/>
    </row>
    <row r="155" ht="15.75" customHeight="1">
      <c r="C155" s="26" t="n"/>
    </row>
    <row r="156" ht="15.75" customHeight="1">
      <c r="C156" s="26" t="n"/>
    </row>
    <row r="157" ht="15.75" customHeight="1">
      <c r="C157" s="26" t="n"/>
    </row>
    <row r="158" ht="15.75" customHeight="1">
      <c r="C158" s="26" t="n"/>
    </row>
    <row r="159" ht="15.75" customHeight="1">
      <c r="C159" s="26" t="n"/>
    </row>
    <row r="160" ht="15.75" customHeight="1">
      <c r="C160" s="26" t="n"/>
    </row>
    <row r="161" ht="15.75" customHeight="1">
      <c r="C161" s="26" t="n"/>
    </row>
    <row r="162" ht="15.75" customHeight="1">
      <c r="C162" s="26" t="n"/>
    </row>
    <row r="163" ht="15.75" customHeight="1">
      <c r="C163" s="26" t="n"/>
    </row>
    <row r="164" ht="15.75" customHeight="1">
      <c r="C164" s="26" t="n"/>
    </row>
    <row r="165" ht="15.75" customHeight="1">
      <c r="C165" s="26" t="n"/>
    </row>
    <row r="166" ht="15.75" customHeight="1">
      <c r="C166" s="26" t="n"/>
    </row>
    <row r="167" ht="15.75" customHeight="1">
      <c r="C167" s="26" t="n"/>
    </row>
    <row r="168" ht="15.75" customHeight="1">
      <c r="C168" s="26" t="n"/>
    </row>
    <row r="169" ht="15.75" customHeight="1">
      <c r="C169" s="26" t="n"/>
    </row>
    <row r="170" ht="15.75" customHeight="1">
      <c r="C170" s="26" t="n"/>
    </row>
    <row r="171" ht="15.75" customHeight="1">
      <c r="C171" s="26" t="n"/>
    </row>
    <row r="172" ht="15.75" customHeight="1">
      <c r="C172" s="26" t="n"/>
    </row>
    <row r="173" ht="15.75" customHeight="1">
      <c r="C173" s="26" t="n"/>
    </row>
    <row r="174" ht="15.75" customHeight="1">
      <c r="C174" s="26" t="n"/>
    </row>
    <row r="175" ht="15.75" customHeight="1">
      <c r="C175" s="26" t="n"/>
    </row>
    <row r="176" ht="15.75" customHeight="1">
      <c r="C176" s="26" t="n"/>
    </row>
    <row r="177" ht="15.75" customHeight="1">
      <c r="C177" s="26" t="n"/>
    </row>
    <row r="178" ht="15.75" customHeight="1">
      <c r="C178" s="26" t="n"/>
    </row>
    <row r="179" ht="15.75" customHeight="1">
      <c r="C179" s="26" t="n"/>
    </row>
    <row r="180" ht="15.75" customHeight="1">
      <c r="C180" s="26" t="n"/>
    </row>
    <row r="181" ht="15.75" customHeight="1">
      <c r="C181" s="26" t="n"/>
    </row>
    <row r="182" ht="15.75" customHeight="1">
      <c r="C182" s="26" t="n"/>
    </row>
    <row r="183" ht="15.75" customHeight="1">
      <c r="C183" s="26" t="n"/>
    </row>
    <row r="184" ht="15.75" customHeight="1">
      <c r="C184" s="26" t="n"/>
    </row>
    <row r="185" ht="15.75" customHeight="1">
      <c r="C185" s="26" t="n"/>
    </row>
    <row r="186" ht="15.75" customHeight="1">
      <c r="C186" s="26" t="n"/>
    </row>
    <row r="187" ht="15.75" customHeight="1">
      <c r="C187" s="26" t="n"/>
    </row>
    <row r="188" ht="15.75" customHeight="1">
      <c r="C188" s="26" t="n"/>
    </row>
    <row r="189" ht="15.75" customHeight="1">
      <c r="C189" s="26" t="n"/>
    </row>
    <row r="190" ht="15.75" customHeight="1">
      <c r="C190" s="26" t="n"/>
    </row>
    <row r="191" ht="15.75" customHeight="1">
      <c r="C191" s="26" t="n"/>
    </row>
    <row r="192" ht="15.75" customHeight="1">
      <c r="C192" s="26" t="n"/>
    </row>
    <row r="193" ht="15.75" customHeight="1">
      <c r="C193" s="26" t="n"/>
    </row>
    <row r="194" ht="15.75" customHeight="1">
      <c r="C194" s="26" t="n"/>
    </row>
    <row r="195" ht="15.75" customHeight="1">
      <c r="C195" s="26" t="n"/>
    </row>
    <row r="196" ht="15.75" customHeight="1">
      <c r="C196" s="26" t="n"/>
    </row>
    <row r="197" ht="15.75" customHeight="1">
      <c r="C197" s="26" t="n"/>
    </row>
    <row r="198" ht="15.75" customHeight="1">
      <c r="C198" s="26" t="n"/>
    </row>
    <row r="199" ht="15.75" customHeight="1">
      <c r="C199" s="26" t="n"/>
    </row>
    <row r="200" ht="15.75" customHeight="1">
      <c r="C200" s="26" t="n"/>
    </row>
    <row r="201" ht="15.75" customHeight="1">
      <c r="C201" s="26" t="n"/>
    </row>
    <row r="202" ht="15.75" customHeight="1">
      <c r="C202" s="26" t="n"/>
    </row>
    <row r="203" ht="15.75" customHeight="1">
      <c r="C203" s="26" t="n"/>
    </row>
    <row r="204" ht="15.75" customHeight="1">
      <c r="C204" s="26" t="n"/>
    </row>
    <row r="205" ht="15.75" customHeight="1">
      <c r="C205" s="26" t="n"/>
    </row>
    <row r="206" ht="15.75" customHeight="1">
      <c r="C206" s="26" t="n"/>
    </row>
    <row r="207" ht="15.75" customHeight="1">
      <c r="C207" s="26" t="n"/>
    </row>
    <row r="208" ht="15.75" customHeight="1">
      <c r="C208" s="26" t="n"/>
    </row>
    <row r="209" ht="15.75" customHeight="1">
      <c r="C209" s="26" t="n"/>
    </row>
    <row r="210" ht="15.75" customHeight="1">
      <c r="C210" s="26" t="n"/>
    </row>
    <row r="211" ht="15.75" customHeight="1">
      <c r="C211" s="26" t="n"/>
    </row>
    <row r="212" ht="15.75" customHeight="1">
      <c r="C212" s="26" t="n"/>
    </row>
    <row r="213" ht="15.75" customHeight="1">
      <c r="C213" s="26" t="n"/>
    </row>
    <row r="214" ht="15.75" customHeight="1">
      <c r="C214" s="26" t="n"/>
    </row>
    <row r="215" ht="15.75" customHeight="1">
      <c r="C215" s="26" t="n"/>
    </row>
    <row r="216" ht="15.75" customHeight="1">
      <c r="C216" s="26" t="n"/>
    </row>
    <row r="217" ht="15.75" customHeight="1">
      <c r="C217" s="26" t="n"/>
    </row>
    <row r="218" ht="15.75" customHeight="1">
      <c r="C218" s="26" t="n"/>
    </row>
    <row r="219" ht="15.75" customHeight="1">
      <c r="C219" s="26" t="n"/>
    </row>
    <row r="220" ht="15.75" customHeight="1">
      <c r="C220" s="26" t="n"/>
    </row>
    <row r="221" ht="15.75" customHeight="1">
      <c r="C221" s="26" t="n"/>
    </row>
    <row r="222" ht="15.75" customHeight="1">
      <c r="C222" s="26" t="n"/>
    </row>
    <row r="223" ht="15.75" customHeight="1">
      <c r="C223" s="26" t="n"/>
    </row>
    <row r="224" ht="15.75" customHeight="1">
      <c r="C224" s="26" t="n"/>
    </row>
    <row r="225" ht="15.75" customHeight="1">
      <c r="C225" s="26" t="n"/>
    </row>
    <row r="226" ht="15.75" customHeight="1">
      <c r="C226" s="26" t="n"/>
    </row>
    <row r="227" ht="15.75" customHeight="1">
      <c r="C227" s="26" t="n"/>
    </row>
    <row r="228" ht="15.75" customHeight="1">
      <c r="C228" s="26" t="n"/>
    </row>
    <row r="229" ht="15.75" customHeight="1">
      <c r="C229" s="26" t="n"/>
    </row>
    <row r="230" ht="15.75" customHeight="1">
      <c r="C230" s="26" t="n"/>
    </row>
    <row r="231" ht="15.75" customHeight="1">
      <c r="C231" s="26" t="n"/>
    </row>
    <row r="232" ht="15.75" customHeight="1">
      <c r="C232" s="26" t="n"/>
    </row>
    <row r="233" ht="15.75" customHeight="1">
      <c r="C233" s="26" t="n"/>
    </row>
    <row r="234" ht="15.75" customHeight="1">
      <c r="C234" s="26" t="n"/>
    </row>
    <row r="235" ht="15.75" customHeight="1">
      <c r="C235" s="26" t="n"/>
    </row>
    <row r="236" ht="15.75" customHeight="1">
      <c r="C236" s="26" t="n"/>
    </row>
    <row r="237" ht="15.75" customHeight="1">
      <c r="C237" s="26" t="n"/>
    </row>
    <row r="238" ht="15.75" customHeight="1">
      <c r="C238" s="26" t="n"/>
    </row>
    <row r="239" ht="15.75" customHeight="1">
      <c r="C239" s="26" t="n"/>
    </row>
    <row r="240" ht="15.75" customHeight="1">
      <c r="C240" s="26" t="n"/>
    </row>
    <row r="241" ht="15.75" customHeight="1">
      <c r="C241" s="26" t="n"/>
    </row>
    <row r="242" ht="15.75" customHeight="1">
      <c r="C242" s="26" t="n"/>
    </row>
    <row r="243" ht="15.75" customHeight="1">
      <c r="C243" s="26" t="n"/>
    </row>
    <row r="244" ht="15.75" customHeight="1">
      <c r="C244" s="26" t="n"/>
    </row>
    <row r="245" ht="15.75" customHeight="1">
      <c r="C245" s="26" t="n"/>
    </row>
    <row r="246" ht="15.75" customHeight="1">
      <c r="C246" s="26" t="n"/>
    </row>
    <row r="247" ht="15.75" customHeight="1">
      <c r="C247" s="26" t="n"/>
    </row>
    <row r="248" ht="15.75" customHeight="1">
      <c r="C248" s="26" t="n"/>
    </row>
    <row r="249" ht="15.75" customHeight="1">
      <c r="C249" s="26" t="n"/>
    </row>
    <row r="250" ht="15.75" customHeight="1">
      <c r="C250" s="26" t="n"/>
    </row>
    <row r="251" ht="15.75" customHeight="1">
      <c r="C251" s="26" t="n"/>
    </row>
    <row r="252" ht="15.75" customHeight="1">
      <c r="C252" s="26" t="n"/>
    </row>
    <row r="253" ht="15.75" customHeight="1">
      <c r="C253" s="26" t="n"/>
    </row>
    <row r="254" ht="15.75" customHeight="1">
      <c r="C254" s="26" t="n"/>
    </row>
    <row r="255" ht="15.75" customHeight="1">
      <c r="C255" s="26" t="n"/>
    </row>
    <row r="256" ht="15.75" customHeight="1">
      <c r="C256" s="26" t="n"/>
    </row>
    <row r="257" ht="15.75" customHeight="1">
      <c r="C257" s="26" t="n"/>
    </row>
    <row r="258" ht="15.75" customHeight="1">
      <c r="C258" s="26" t="n"/>
    </row>
    <row r="259" ht="15.75" customHeight="1">
      <c r="C259" s="26" t="n"/>
    </row>
    <row r="260" ht="15.75" customHeight="1">
      <c r="C260" s="26" t="n"/>
    </row>
    <row r="261" ht="15.75" customHeight="1">
      <c r="C261" s="26" t="n"/>
    </row>
    <row r="262" ht="15.75" customHeight="1">
      <c r="C262" s="26" t="n"/>
    </row>
    <row r="263" ht="15.75" customHeight="1">
      <c r="C263" s="26" t="n"/>
    </row>
    <row r="264" ht="15.75" customHeight="1">
      <c r="C264" s="26" t="n"/>
    </row>
    <row r="265" ht="15.75" customHeight="1">
      <c r="C265" s="26" t="n"/>
    </row>
    <row r="266" ht="15.75" customHeight="1">
      <c r="C266" s="26" t="n"/>
    </row>
    <row r="267" ht="15.75" customHeight="1">
      <c r="C267" s="26" t="n"/>
    </row>
    <row r="268" ht="15.75" customHeight="1">
      <c r="C268" s="26" t="n"/>
    </row>
    <row r="269" ht="15.75" customHeight="1">
      <c r="C269" s="26" t="n"/>
    </row>
    <row r="270" ht="15.75" customHeight="1">
      <c r="C270" s="26" t="n"/>
    </row>
    <row r="271" ht="15.75" customHeight="1">
      <c r="C271" s="26" t="n"/>
    </row>
    <row r="272" ht="15.75" customHeight="1">
      <c r="C272" s="26" t="n"/>
    </row>
    <row r="273" ht="15.75" customHeight="1">
      <c r="C273" s="26" t="n"/>
    </row>
    <row r="274" ht="15.75" customHeight="1">
      <c r="C274" s="26" t="n"/>
    </row>
    <row r="275" ht="15.75" customHeight="1">
      <c r="C275" s="26" t="n"/>
    </row>
    <row r="276" ht="15.75" customHeight="1">
      <c r="C276" s="26" t="n"/>
    </row>
    <row r="277" ht="15.75" customHeight="1">
      <c r="C277" s="26" t="n"/>
    </row>
    <row r="278" ht="15.75" customHeight="1">
      <c r="C278" s="26" t="n"/>
    </row>
    <row r="279" ht="15.75" customHeight="1">
      <c r="C279" s="26" t="n"/>
    </row>
    <row r="280" ht="15.75" customHeight="1">
      <c r="C280" s="26" t="n"/>
    </row>
    <row r="281" ht="15.75" customHeight="1">
      <c r="C281" s="26" t="n"/>
    </row>
    <row r="282" ht="15.75" customHeight="1">
      <c r="C282" s="26" t="n"/>
    </row>
    <row r="283" ht="15.75" customHeight="1">
      <c r="C283" s="26" t="n"/>
    </row>
    <row r="284" ht="15.75" customHeight="1">
      <c r="C284" s="26" t="n"/>
    </row>
    <row r="285" ht="15.75" customHeight="1">
      <c r="C285" s="26" t="n"/>
    </row>
    <row r="286" ht="15.75" customHeight="1">
      <c r="C286" s="26" t="n"/>
    </row>
    <row r="287" ht="15.75" customHeight="1">
      <c r="C287" s="26" t="n"/>
    </row>
    <row r="288" ht="15.75" customHeight="1">
      <c r="C288" s="26" t="n"/>
    </row>
    <row r="289" ht="15.75" customHeight="1">
      <c r="C289" s="26" t="n"/>
    </row>
    <row r="290" ht="15.75" customHeight="1">
      <c r="C290" s="26" t="n"/>
    </row>
    <row r="291" ht="15.75" customHeight="1">
      <c r="C291" s="26" t="n"/>
    </row>
    <row r="292" ht="15.75" customHeight="1">
      <c r="C292" s="26" t="n"/>
    </row>
    <row r="293" ht="15.75" customHeight="1">
      <c r="C293" s="26" t="n"/>
    </row>
    <row r="294" ht="15.75" customHeight="1">
      <c r="C294" s="26" t="n"/>
    </row>
    <row r="295" ht="15.75" customHeight="1">
      <c r="C295" s="26" t="n"/>
    </row>
    <row r="296" ht="15.75" customHeight="1">
      <c r="C296" s="26" t="n"/>
    </row>
    <row r="297" ht="15.75" customHeight="1">
      <c r="C297" s="26" t="n"/>
    </row>
    <row r="298" ht="15.75" customHeight="1">
      <c r="C298" s="26" t="n"/>
    </row>
    <row r="299" ht="15.75" customHeight="1">
      <c r="C299" s="26" t="n"/>
    </row>
    <row r="300" ht="15.75" customHeight="1">
      <c r="C300" s="26" t="n"/>
    </row>
    <row r="301" ht="15.75" customHeight="1">
      <c r="C301" s="26" t="n"/>
    </row>
    <row r="302" ht="15.75" customHeight="1">
      <c r="C302" s="26" t="n"/>
    </row>
    <row r="303" ht="15.75" customHeight="1">
      <c r="C303" s="26" t="n"/>
    </row>
    <row r="304" ht="15.75" customHeight="1">
      <c r="C304" s="26" t="n"/>
    </row>
    <row r="305" ht="15.75" customHeight="1">
      <c r="C305" s="26" t="n"/>
    </row>
    <row r="306" ht="15.75" customHeight="1">
      <c r="C306" s="26" t="n"/>
    </row>
    <row r="307" ht="15.75" customHeight="1">
      <c r="C307" s="26" t="n"/>
    </row>
    <row r="308" ht="15.75" customHeight="1">
      <c r="C308" s="26" t="n"/>
    </row>
    <row r="309" ht="15.75" customHeight="1">
      <c r="C309" s="26" t="n"/>
    </row>
    <row r="310" ht="15.75" customHeight="1">
      <c r="C310" s="26" t="n"/>
    </row>
    <row r="311" ht="15.75" customHeight="1">
      <c r="C311" s="26" t="n"/>
    </row>
    <row r="312" ht="15.75" customHeight="1">
      <c r="C312" s="26" t="n"/>
    </row>
    <row r="313" ht="15.75" customHeight="1">
      <c r="C313" s="26" t="n"/>
    </row>
    <row r="314" ht="15.75" customHeight="1">
      <c r="C314" s="26" t="n"/>
    </row>
    <row r="315" ht="15.75" customHeight="1">
      <c r="C315" s="26" t="n"/>
    </row>
    <row r="316" ht="15.75" customHeight="1">
      <c r="C316" s="26" t="n"/>
    </row>
    <row r="317" ht="15.75" customHeight="1">
      <c r="C317" s="26" t="n"/>
    </row>
    <row r="318" ht="15.75" customHeight="1">
      <c r="C318" s="26" t="n"/>
    </row>
    <row r="319" ht="15.75" customHeight="1">
      <c r="C319" s="26" t="n"/>
    </row>
    <row r="320" ht="15.75" customHeight="1">
      <c r="C320" s="26" t="n"/>
    </row>
    <row r="321" ht="15.75" customHeight="1">
      <c r="C321" s="26" t="n"/>
    </row>
    <row r="322" ht="15.75" customHeight="1">
      <c r="C322" s="26" t="n"/>
    </row>
    <row r="323" ht="15.75" customHeight="1">
      <c r="C323" s="26" t="n"/>
    </row>
    <row r="324" ht="15.75" customHeight="1">
      <c r="C324" s="26" t="n"/>
    </row>
    <row r="325" ht="15.75" customHeight="1">
      <c r="C325" s="26" t="n"/>
    </row>
    <row r="326" ht="15.75" customHeight="1">
      <c r="C326" s="26" t="n"/>
    </row>
    <row r="327" ht="15.75" customHeight="1">
      <c r="C327" s="26" t="n"/>
    </row>
    <row r="328" ht="15.75" customHeight="1">
      <c r="C328" s="26" t="n"/>
    </row>
    <row r="329" ht="15.75" customHeight="1">
      <c r="C329" s="26" t="n"/>
    </row>
    <row r="330" ht="15.75" customHeight="1">
      <c r="C330" s="26" t="n"/>
    </row>
    <row r="331" ht="15.75" customHeight="1">
      <c r="C331" s="26" t="n"/>
    </row>
    <row r="332" ht="15.75" customHeight="1">
      <c r="C332" s="26" t="n"/>
    </row>
    <row r="333" ht="15.75" customHeight="1">
      <c r="C333" s="26" t="n"/>
    </row>
    <row r="334" ht="15.75" customHeight="1">
      <c r="C334" s="26" t="n"/>
    </row>
    <row r="335" ht="15.75" customHeight="1">
      <c r="C335" s="26" t="n"/>
    </row>
    <row r="336" ht="15.75" customHeight="1">
      <c r="C336" s="26" t="n"/>
    </row>
    <row r="337" ht="15.75" customHeight="1">
      <c r="C337" s="26" t="n"/>
    </row>
    <row r="338" ht="15.75" customHeight="1">
      <c r="C338" s="26" t="n"/>
    </row>
    <row r="339" ht="15.75" customHeight="1">
      <c r="C339" s="26" t="n"/>
    </row>
    <row r="340" ht="15.75" customHeight="1">
      <c r="C340" s="26" t="n"/>
    </row>
    <row r="341" ht="15.75" customHeight="1">
      <c r="C341" s="26" t="n"/>
    </row>
    <row r="342" ht="15.75" customHeight="1">
      <c r="C342" s="26" t="n"/>
    </row>
    <row r="343" ht="15.75" customHeight="1">
      <c r="C343" s="26" t="n"/>
    </row>
    <row r="344" ht="15.75" customHeight="1">
      <c r="C344" s="26" t="n"/>
    </row>
    <row r="345" ht="15.75" customHeight="1">
      <c r="C345" s="26" t="n"/>
    </row>
    <row r="346" ht="15.75" customHeight="1">
      <c r="C346" s="26" t="n"/>
    </row>
    <row r="347" ht="15.75" customHeight="1">
      <c r="C347" s="26" t="n"/>
    </row>
    <row r="348" ht="15.75" customHeight="1">
      <c r="C348" s="26" t="n"/>
    </row>
    <row r="349" ht="15.75" customHeight="1">
      <c r="C349" s="26" t="n"/>
    </row>
    <row r="350" ht="15.75" customHeight="1">
      <c r="C350" s="26" t="n"/>
    </row>
    <row r="351" ht="15.75" customHeight="1">
      <c r="C351" s="26" t="n"/>
    </row>
    <row r="352" ht="15.75" customHeight="1">
      <c r="C352" s="26" t="n"/>
    </row>
    <row r="353" ht="15.75" customHeight="1">
      <c r="C353" s="26" t="n"/>
    </row>
    <row r="354" ht="15.75" customHeight="1">
      <c r="C354" s="26" t="n"/>
    </row>
    <row r="355" ht="15.75" customHeight="1">
      <c r="C355" s="26" t="n"/>
    </row>
    <row r="356" ht="15.75" customHeight="1">
      <c r="C356" s="26" t="n"/>
    </row>
    <row r="357" ht="15.75" customHeight="1">
      <c r="C357" s="26" t="n"/>
    </row>
    <row r="358" ht="15.75" customHeight="1">
      <c r="C358" s="26" t="n"/>
    </row>
    <row r="359" ht="15.75" customHeight="1">
      <c r="C359" s="26" t="n"/>
    </row>
    <row r="360" ht="15.75" customHeight="1">
      <c r="C360" s="26" t="n"/>
    </row>
    <row r="361" ht="15.75" customHeight="1">
      <c r="C361" s="26" t="n"/>
    </row>
    <row r="362" ht="15.75" customHeight="1">
      <c r="C362" s="26" t="n"/>
    </row>
    <row r="363" ht="15.75" customHeight="1">
      <c r="C363" s="26" t="n"/>
    </row>
    <row r="364" ht="15.75" customHeight="1">
      <c r="C364" s="26" t="n"/>
    </row>
    <row r="365" ht="15.75" customHeight="1">
      <c r="C365" s="26" t="n"/>
    </row>
    <row r="366" ht="15.75" customHeight="1">
      <c r="C366" s="26" t="n"/>
    </row>
    <row r="367" ht="15.75" customHeight="1">
      <c r="C367" s="26" t="n"/>
    </row>
    <row r="368" ht="15.75" customHeight="1">
      <c r="C368" s="26" t="n"/>
    </row>
    <row r="369" ht="15.75" customHeight="1">
      <c r="C369" s="26" t="n"/>
    </row>
    <row r="370" ht="15.75" customHeight="1">
      <c r="C370" s="26" t="n"/>
    </row>
    <row r="371" ht="15.75" customHeight="1">
      <c r="C371" s="26" t="n"/>
    </row>
    <row r="372" ht="15.75" customHeight="1">
      <c r="C372" s="26" t="n"/>
    </row>
    <row r="373" ht="15.75" customHeight="1">
      <c r="C373" s="26" t="n"/>
    </row>
    <row r="374" ht="15.75" customHeight="1">
      <c r="C374" s="26" t="n"/>
    </row>
    <row r="375" ht="15.75" customHeight="1">
      <c r="C375" s="26" t="n"/>
    </row>
    <row r="376" ht="15.75" customHeight="1">
      <c r="C376" s="26" t="n"/>
    </row>
    <row r="377" ht="15.75" customHeight="1">
      <c r="C377" s="26" t="n"/>
    </row>
    <row r="378" ht="15.75" customHeight="1">
      <c r="C378" s="26" t="n"/>
    </row>
    <row r="379" ht="15.75" customHeight="1">
      <c r="C379" s="26" t="n"/>
    </row>
    <row r="380" ht="15.75" customHeight="1">
      <c r="C380" s="26" t="n"/>
    </row>
    <row r="381" ht="15.75" customHeight="1">
      <c r="C381" s="26" t="n"/>
    </row>
    <row r="382" ht="15.75" customHeight="1">
      <c r="C382" s="26" t="n"/>
    </row>
    <row r="383" ht="15.75" customHeight="1">
      <c r="C383" s="26" t="n"/>
    </row>
    <row r="384" ht="15.75" customHeight="1">
      <c r="C384" s="26" t="n"/>
    </row>
    <row r="385" ht="15.75" customHeight="1">
      <c r="C385" s="26" t="n"/>
    </row>
    <row r="386" ht="15.75" customHeight="1">
      <c r="C386" s="26" t="n"/>
    </row>
    <row r="387" ht="15.75" customHeight="1">
      <c r="C387" s="26" t="n"/>
    </row>
    <row r="388" ht="15.75" customHeight="1">
      <c r="C388" s="26" t="n"/>
    </row>
    <row r="389" ht="15.75" customHeight="1">
      <c r="C389" s="26" t="n"/>
    </row>
    <row r="390" ht="15.75" customHeight="1">
      <c r="C390" s="26" t="n"/>
    </row>
    <row r="391" ht="15.75" customHeight="1">
      <c r="C391" s="26" t="n"/>
    </row>
    <row r="392" ht="15.75" customHeight="1">
      <c r="C392" s="26" t="n"/>
    </row>
    <row r="393" ht="15.75" customHeight="1">
      <c r="C393" s="26" t="n"/>
    </row>
    <row r="394" ht="15.75" customHeight="1">
      <c r="C394" s="26" t="n"/>
    </row>
    <row r="395" ht="15.75" customHeight="1">
      <c r="C395" s="26" t="n"/>
    </row>
    <row r="396" ht="15.75" customHeight="1">
      <c r="C396" s="26" t="n"/>
    </row>
    <row r="397" ht="15.75" customHeight="1">
      <c r="C397" s="26" t="n"/>
    </row>
    <row r="398" ht="15.75" customHeight="1">
      <c r="C398" s="26" t="n"/>
    </row>
    <row r="399" ht="15.75" customHeight="1">
      <c r="C399" s="26" t="n"/>
    </row>
    <row r="400" ht="15.75" customHeight="1">
      <c r="C400" s="26" t="n"/>
    </row>
    <row r="401" ht="15.75" customHeight="1">
      <c r="C401" s="26" t="n"/>
    </row>
    <row r="402" ht="15.75" customHeight="1">
      <c r="C402" s="26" t="n"/>
    </row>
    <row r="403" ht="15.75" customHeight="1">
      <c r="C403" s="26" t="n"/>
    </row>
    <row r="404" ht="15.75" customHeight="1">
      <c r="C404" s="26" t="n"/>
    </row>
    <row r="405" ht="15.75" customHeight="1">
      <c r="C405" s="26" t="n"/>
    </row>
    <row r="406" ht="15.75" customHeight="1">
      <c r="C406" s="26" t="n"/>
    </row>
    <row r="407" ht="15.75" customHeight="1">
      <c r="C407" s="26" t="n"/>
    </row>
    <row r="408" ht="15.75" customHeight="1">
      <c r="C408" s="26" t="n"/>
    </row>
    <row r="409" ht="15.75" customHeight="1">
      <c r="C409" s="26" t="n"/>
    </row>
    <row r="410" ht="15.75" customHeight="1">
      <c r="C410" s="26" t="n"/>
    </row>
    <row r="411" ht="15.75" customHeight="1">
      <c r="C411" s="26" t="n"/>
    </row>
    <row r="412" ht="15.75" customHeight="1">
      <c r="C412" s="26" t="n"/>
    </row>
    <row r="413" ht="15.75" customHeight="1">
      <c r="C413" s="26" t="n"/>
    </row>
    <row r="414" ht="15.75" customHeight="1">
      <c r="C414" s="26" t="n"/>
    </row>
    <row r="415" ht="15.75" customHeight="1">
      <c r="C415" s="26" t="n"/>
    </row>
    <row r="416" ht="15.75" customHeight="1">
      <c r="C416" s="26" t="n"/>
    </row>
    <row r="417" ht="15.75" customHeight="1">
      <c r="C417" s="26" t="n"/>
    </row>
    <row r="418" ht="15.75" customHeight="1">
      <c r="C418" s="26" t="n"/>
    </row>
    <row r="419" ht="15.75" customHeight="1">
      <c r="C419" s="26" t="n"/>
    </row>
    <row r="420" ht="15.75" customHeight="1">
      <c r="C420" s="26" t="n"/>
    </row>
    <row r="421" ht="15.75" customHeight="1">
      <c r="C421" s="26" t="n"/>
    </row>
    <row r="422" ht="15.75" customHeight="1">
      <c r="C422" s="26" t="n"/>
    </row>
    <row r="423" ht="15.75" customHeight="1">
      <c r="C423" s="26" t="n"/>
    </row>
    <row r="424" ht="15.75" customHeight="1">
      <c r="C424" s="26" t="n"/>
    </row>
    <row r="425" ht="15.75" customHeight="1">
      <c r="C425" s="26" t="n"/>
    </row>
    <row r="426" ht="15.75" customHeight="1">
      <c r="C426" s="26" t="n"/>
    </row>
    <row r="427" ht="15.75" customHeight="1">
      <c r="C427" s="26" t="n"/>
    </row>
    <row r="428" ht="15.75" customHeight="1">
      <c r="C428" s="26" t="n"/>
    </row>
    <row r="429" ht="15.75" customHeight="1">
      <c r="C429" s="26" t="n"/>
    </row>
    <row r="430" ht="15.75" customHeight="1">
      <c r="C430" s="26" t="n"/>
    </row>
    <row r="431" ht="15.75" customHeight="1">
      <c r="C431" s="26" t="n"/>
    </row>
    <row r="432" ht="15.75" customHeight="1">
      <c r="C432" s="26" t="n"/>
    </row>
    <row r="433" ht="15.75" customHeight="1">
      <c r="C433" s="26" t="n"/>
    </row>
    <row r="434" ht="15.75" customHeight="1">
      <c r="C434" s="26" t="n"/>
    </row>
    <row r="435" ht="15.75" customHeight="1">
      <c r="C435" s="26" t="n"/>
    </row>
    <row r="436" ht="15.75" customHeight="1">
      <c r="C436" s="26" t="n"/>
    </row>
    <row r="437" ht="15.75" customHeight="1">
      <c r="C437" s="26" t="n"/>
    </row>
    <row r="438" ht="15.75" customHeight="1">
      <c r="C438" s="26" t="n"/>
    </row>
    <row r="439" ht="15.75" customHeight="1">
      <c r="C439" s="26" t="n"/>
    </row>
    <row r="440" ht="15.75" customHeight="1">
      <c r="C440" s="26" t="n"/>
    </row>
    <row r="441" ht="15.75" customHeight="1">
      <c r="C441" s="26" t="n"/>
    </row>
    <row r="442" ht="15.75" customHeight="1">
      <c r="C442" s="26" t="n"/>
    </row>
    <row r="443" ht="15.75" customHeight="1">
      <c r="C443" s="26" t="n"/>
    </row>
    <row r="444" ht="15.75" customHeight="1">
      <c r="C444" s="26" t="n"/>
    </row>
    <row r="445" ht="15.75" customHeight="1">
      <c r="C445" s="26" t="n"/>
    </row>
    <row r="446" ht="15.75" customHeight="1">
      <c r="C446" s="26" t="n"/>
    </row>
    <row r="447" ht="15.75" customHeight="1">
      <c r="C447" s="26" t="n"/>
    </row>
    <row r="448" ht="15.75" customHeight="1">
      <c r="C448" s="26" t="n"/>
    </row>
    <row r="449" ht="15.75" customHeight="1">
      <c r="C449" s="26" t="n"/>
    </row>
    <row r="450" ht="15.75" customHeight="1">
      <c r="C450" s="26" t="n"/>
    </row>
    <row r="451" ht="15.75" customHeight="1">
      <c r="C451" s="26" t="n"/>
    </row>
    <row r="452" ht="15.75" customHeight="1">
      <c r="C452" s="26" t="n"/>
    </row>
    <row r="453" ht="15.75" customHeight="1">
      <c r="C453" s="26" t="n"/>
    </row>
    <row r="454" ht="15.75" customHeight="1">
      <c r="C454" s="26" t="n"/>
    </row>
    <row r="455" ht="15.75" customHeight="1">
      <c r="C455" s="26" t="n"/>
    </row>
    <row r="456" ht="15.75" customHeight="1">
      <c r="C456" s="26" t="n"/>
    </row>
    <row r="457" ht="15.75" customHeight="1">
      <c r="C457" s="26" t="n"/>
    </row>
    <row r="458" ht="15.75" customHeight="1">
      <c r="C458" s="26" t="n"/>
    </row>
    <row r="459" ht="15.75" customHeight="1">
      <c r="C459" s="26" t="n"/>
    </row>
    <row r="460" ht="15.75" customHeight="1">
      <c r="C460" s="26" t="n"/>
    </row>
    <row r="461" ht="15.75" customHeight="1">
      <c r="C461" s="26" t="n"/>
    </row>
    <row r="462" ht="15.75" customHeight="1">
      <c r="C462" s="26" t="n"/>
    </row>
    <row r="463" ht="15.75" customHeight="1">
      <c r="C463" s="26" t="n"/>
    </row>
    <row r="464" ht="15.75" customHeight="1">
      <c r="C464" s="26" t="n"/>
    </row>
    <row r="465" ht="15.75" customHeight="1">
      <c r="C465" s="26" t="n"/>
    </row>
    <row r="466" ht="15.75" customHeight="1">
      <c r="C466" s="26" t="n"/>
    </row>
    <row r="467" ht="15.75" customHeight="1">
      <c r="C467" s="26" t="n"/>
    </row>
    <row r="468" ht="15.75" customHeight="1">
      <c r="C468" s="26" t="n"/>
    </row>
    <row r="469" ht="15.75" customHeight="1">
      <c r="C469" s="26" t="n"/>
    </row>
    <row r="470" ht="15.75" customHeight="1">
      <c r="C470" s="26" t="n"/>
    </row>
    <row r="471" ht="15.75" customHeight="1">
      <c r="C471" s="26" t="n"/>
    </row>
    <row r="472" ht="15.75" customHeight="1">
      <c r="C472" s="26" t="n"/>
    </row>
    <row r="473" ht="15.75" customHeight="1">
      <c r="C473" s="26" t="n"/>
    </row>
    <row r="474" ht="15.75" customHeight="1">
      <c r="C474" s="26" t="n"/>
    </row>
    <row r="475" ht="15.75" customHeight="1">
      <c r="C475" s="26" t="n"/>
    </row>
    <row r="476" ht="15.75" customHeight="1">
      <c r="C476" s="26" t="n"/>
    </row>
    <row r="477" ht="15.75" customHeight="1">
      <c r="C477" s="26" t="n"/>
    </row>
    <row r="478" ht="15.75" customHeight="1">
      <c r="C478" s="26" t="n"/>
    </row>
    <row r="479" ht="15.75" customHeight="1">
      <c r="C479" s="26" t="n"/>
    </row>
    <row r="480" ht="15.75" customHeight="1">
      <c r="C480" s="26" t="n"/>
    </row>
    <row r="481" ht="15.75" customHeight="1">
      <c r="C481" s="26" t="n"/>
    </row>
    <row r="482" ht="15.75" customHeight="1">
      <c r="C482" s="26" t="n"/>
    </row>
    <row r="483" ht="15.75" customHeight="1">
      <c r="C483" s="26" t="n"/>
    </row>
    <row r="484" ht="15.75" customHeight="1">
      <c r="C484" s="26" t="n"/>
    </row>
    <row r="485" ht="15.75" customHeight="1">
      <c r="C485" s="26" t="n"/>
    </row>
    <row r="486" ht="15.75" customHeight="1">
      <c r="C486" s="26" t="n"/>
    </row>
    <row r="487" ht="15.75" customHeight="1">
      <c r="C487" s="26" t="n"/>
    </row>
    <row r="488" ht="15.75" customHeight="1">
      <c r="C488" s="26" t="n"/>
    </row>
    <row r="489" ht="15.75" customHeight="1">
      <c r="C489" s="26" t="n"/>
    </row>
    <row r="490" ht="15.75" customHeight="1">
      <c r="C490" s="26" t="n"/>
    </row>
    <row r="491" ht="15.75" customHeight="1">
      <c r="C491" s="26" t="n"/>
    </row>
    <row r="492" ht="15.75" customHeight="1">
      <c r="C492" s="26" t="n"/>
    </row>
    <row r="493" ht="15.75" customHeight="1">
      <c r="C493" s="26" t="n"/>
    </row>
    <row r="494" ht="15.75" customHeight="1">
      <c r="C494" s="26" t="n"/>
    </row>
    <row r="495" ht="15.75" customHeight="1">
      <c r="C495" s="26" t="n"/>
    </row>
    <row r="496" ht="15.75" customHeight="1">
      <c r="C496" s="26" t="n"/>
    </row>
    <row r="497" ht="15.75" customHeight="1">
      <c r="C497" s="26" t="n"/>
    </row>
    <row r="498" ht="15.75" customHeight="1">
      <c r="C498" s="26" t="n"/>
    </row>
    <row r="499" ht="15.75" customHeight="1">
      <c r="C499" s="26" t="n"/>
    </row>
    <row r="500" ht="15.75" customHeight="1">
      <c r="C500" s="26" t="n"/>
    </row>
    <row r="501" ht="15.75" customHeight="1">
      <c r="C501" s="26" t="n"/>
    </row>
    <row r="502" ht="15.75" customHeight="1">
      <c r="C502" s="26" t="n"/>
    </row>
    <row r="503" ht="15.75" customHeight="1">
      <c r="C503" s="26" t="n"/>
    </row>
    <row r="504" ht="15.75" customHeight="1">
      <c r="C504" s="26" t="n"/>
    </row>
    <row r="505" ht="15.75" customHeight="1">
      <c r="C505" s="26" t="n"/>
    </row>
    <row r="506" ht="15.75" customHeight="1">
      <c r="C506" s="26" t="n"/>
    </row>
    <row r="507" ht="15.75" customHeight="1">
      <c r="C507" s="26" t="n"/>
    </row>
    <row r="508" ht="15.75" customHeight="1">
      <c r="C508" s="26" t="n"/>
    </row>
    <row r="509" ht="15.75" customHeight="1">
      <c r="C509" s="26" t="n"/>
    </row>
    <row r="510" ht="15.75" customHeight="1">
      <c r="C510" s="26" t="n"/>
    </row>
    <row r="511" ht="15.75" customHeight="1">
      <c r="C511" s="26" t="n"/>
    </row>
    <row r="512" ht="15.75" customHeight="1">
      <c r="C512" s="26" t="n"/>
    </row>
    <row r="513" ht="15.75" customHeight="1">
      <c r="C513" s="26" t="n"/>
    </row>
    <row r="514" ht="15.75" customHeight="1">
      <c r="C514" s="26" t="n"/>
    </row>
    <row r="515" ht="15.75" customHeight="1">
      <c r="C515" s="26" t="n"/>
    </row>
    <row r="516" ht="15.75" customHeight="1">
      <c r="C516" s="26" t="n"/>
    </row>
    <row r="517" ht="15.75" customHeight="1">
      <c r="C517" s="26" t="n"/>
    </row>
    <row r="518" ht="15.75" customHeight="1">
      <c r="C518" s="26" t="n"/>
    </row>
    <row r="519" ht="15.75" customHeight="1">
      <c r="C519" s="26" t="n"/>
    </row>
    <row r="520" ht="15.75" customHeight="1">
      <c r="C520" s="26" t="n"/>
    </row>
    <row r="521" ht="15.75" customHeight="1">
      <c r="C521" s="26" t="n"/>
    </row>
    <row r="522" ht="15.75" customHeight="1">
      <c r="C522" s="26" t="n"/>
    </row>
    <row r="523" ht="15.75" customHeight="1">
      <c r="C523" s="26" t="n"/>
    </row>
    <row r="524" ht="15.75" customHeight="1">
      <c r="C524" s="26" t="n"/>
    </row>
    <row r="525" ht="15.75" customHeight="1">
      <c r="C525" s="26" t="n"/>
    </row>
    <row r="526" ht="15.75" customHeight="1">
      <c r="C526" s="26" t="n"/>
    </row>
    <row r="527" ht="15.75" customHeight="1">
      <c r="C527" s="26" t="n"/>
    </row>
    <row r="528" ht="15.75" customHeight="1">
      <c r="C528" s="26" t="n"/>
    </row>
    <row r="529" ht="15.75" customHeight="1">
      <c r="C529" s="26" t="n"/>
    </row>
    <row r="530" ht="15.75" customHeight="1">
      <c r="C530" s="26" t="n"/>
    </row>
    <row r="531" ht="15.75" customHeight="1">
      <c r="C531" s="26" t="n"/>
    </row>
    <row r="532" ht="15.75" customHeight="1">
      <c r="C532" s="26" t="n"/>
    </row>
    <row r="533" ht="15.75" customHeight="1">
      <c r="C533" s="26" t="n"/>
    </row>
    <row r="534" ht="15.75" customHeight="1">
      <c r="C534" s="26" t="n"/>
    </row>
    <row r="535" ht="15.75" customHeight="1">
      <c r="C535" s="26" t="n"/>
    </row>
    <row r="536" ht="15.75" customHeight="1">
      <c r="C536" s="26" t="n"/>
    </row>
    <row r="537" ht="15.75" customHeight="1">
      <c r="C537" s="26" t="n"/>
    </row>
    <row r="538" ht="15.75" customHeight="1">
      <c r="C538" s="26" t="n"/>
    </row>
    <row r="539" ht="15.75" customHeight="1">
      <c r="C539" s="26" t="n"/>
    </row>
    <row r="540" ht="15.75" customHeight="1">
      <c r="C540" s="26" t="n"/>
    </row>
    <row r="541" ht="15.75" customHeight="1">
      <c r="C541" s="26" t="n"/>
    </row>
    <row r="542" ht="15.75" customHeight="1">
      <c r="C542" s="26" t="n"/>
    </row>
    <row r="543" ht="15.75" customHeight="1">
      <c r="C543" s="26" t="n"/>
    </row>
    <row r="544" ht="15.75" customHeight="1">
      <c r="C544" s="26" t="n"/>
    </row>
    <row r="545" ht="15.75" customHeight="1">
      <c r="C545" s="26" t="n"/>
    </row>
    <row r="546" ht="15.75" customHeight="1">
      <c r="C546" s="26" t="n"/>
    </row>
    <row r="547" ht="15.75" customHeight="1">
      <c r="C547" s="26" t="n"/>
    </row>
    <row r="548" ht="15.75" customHeight="1">
      <c r="C548" s="26" t="n"/>
    </row>
    <row r="549" ht="15.75" customHeight="1">
      <c r="C549" s="26" t="n"/>
    </row>
    <row r="550" ht="15.75" customHeight="1">
      <c r="C550" s="26" t="n"/>
    </row>
    <row r="551" ht="15.75" customHeight="1">
      <c r="C551" s="26" t="n"/>
    </row>
    <row r="552" ht="15.75" customHeight="1">
      <c r="C552" s="26" t="n"/>
    </row>
    <row r="553" ht="15.75" customHeight="1">
      <c r="C553" s="26" t="n"/>
    </row>
    <row r="554" ht="15.75" customHeight="1">
      <c r="C554" s="26" t="n"/>
    </row>
    <row r="555" ht="15.75" customHeight="1">
      <c r="C555" s="26" t="n"/>
    </row>
    <row r="556" ht="15.75" customHeight="1">
      <c r="C556" s="26" t="n"/>
    </row>
    <row r="557" ht="15.75" customHeight="1">
      <c r="C557" s="26" t="n"/>
    </row>
    <row r="558" ht="15.75" customHeight="1">
      <c r="C558" s="26" t="n"/>
    </row>
    <row r="559" ht="15.75" customHeight="1">
      <c r="C559" s="26" t="n"/>
    </row>
    <row r="560" ht="15.75" customHeight="1">
      <c r="C560" s="26" t="n"/>
    </row>
    <row r="561" ht="15.75" customHeight="1">
      <c r="C561" s="26" t="n"/>
    </row>
    <row r="562" ht="15.75" customHeight="1">
      <c r="C562" s="26" t="n"/>
    </row>
    <row r="563" ht="15.75" customHeight="1">
      <c r="C563" s="26" t="n"/>
    </row>
    <row r="564" ht="15.75" customHeight="1">
      <c r="C564" s="26" t="n"/>
    </row>
    <row r="565" ht="15.75" customHeight="1">
      <c r="C565" s="26" t="n"/>
    </row>
    <row r="566" ht="15.75" customHeight="1">
      <c r="C566" s="26" t="n"/>
    </row>
    <row r="567" ht="15.75" customHeight="1">
      <c r="C567" s="26" t="n"/>
    </row>
    <row r="568" ht="15.75" customHeight="1">
      <c r="C568" s="26" t="n"/>
    </row>
    <row r="569" ht="15.75" customHeight="1">
      <c r="C569" s="26" t="n"/>
    </row>
    <row r="570" ht="15.75" customHeight="1">
      <c r="C570" s="26" t="n"/>
    </row>
    <row r="571" ht="15.75" customHeight="1">
      <c r="C571" s="26" t="n"/>
    </row>
    <row r="572" ht="15.75" customHeight="1">
      <c r="C572" s="26" t="n"/>
    </row>
    <row r="573" ht="15.75" customHeight="1">
      <c r="C573" s="26" t="n"/>
    </row>
    <row r="574" ht="15.75" customHeight="1">
      <c r="C574" s="26" t="n"/>
    </row>
    <row r="575" ht="15.75" customHeight="1">
      <c r="C575" s="26" t="n"/>
    </row>
    <row r="576" ht="15.75" customHeight="1">
      <c r="C576" s="26" t="n"/>
    </row>
    <row r="577" ht="15.75" customHeight="1">
      <c r="C577" s="26" t="n"/>
    </row>
    <row r="578" ht="15.75" customHeight="1">
      <c r="C578" s="26" t="n"/>
    </row>
    <row r="579" ht="15.75" customHeight="1">
      <c r="C579" s="26" t="n"/>
    </row>
    <row r="580" ht="15.75" customHeight="1">
      <c r="C580" s="26" t="n"/>
    </row>
    <row r="581" ht="15.75" customHeight="1">
      <c r="C581" s="26" t="n"/>
    </row>
    <row r="582" ht="15.75" customHeight="1">
      <c r="C582" s="26" t="n"/>
    </row>
    <row r="583" ht="15.75" customHeight="1">
      <c r="C583" s="26" t="n"/>
    </row>
    <row r="584" ht="15.75" customHeight="1">
      <c r="C584" s="26" t="n"/>
    </row>
    <row r="585" ht="15.75" customHeight="1">
      <c r="C585" s="26" t="n"/>
    </row>
    <row r="586" ht="15.75" customHeight="1">
      <c r="C586" s="26" t="n"/>
    </row>
    <row r="587" ht="15.75" customHeight="1">
      <c r="C587" s="26" t="n"/>
    </row>
    <row r="588" ht="15.75" customHeight="1">
      <c r="C588" s="26" t="n"/>
    </row>
    <row r="589" ht="15.75" customHeight="1">
      <c r="C589" s="26" t="n"/>
    </row>
    <row r="590" ht="15.75" customHeight="1">
      <c r="C590" s="26" t="n"/>
    </row>
    <row r="591" ht="15.75" customHeight="1">
      <c r="C591" s="26" t="n"/>
    </row>
    <row r="592" ht="15.75" customHeight="1">
      <c r="C592" s="26" t="n"/>
    </row>
    <row r="593" ht="15.75" customHeight="1">
      <c r="C593" s="26" t="n"/>
    </row>
    <row r="594" ht="15.75" customHeight="1">
      <c r="C594" s="26" t="n"/>
    </row>
    <row r="595" ht="15.75" customHeight="1">
      <c r="C595" s="26" t="n"/>
    </row>
    <row r="596" ht="15.75" customHeight="1">
      <c r="C596" s="26" t="n"/>
    </row>
    <row r="597" ht="15.75" customHeight="1">
      <c r="C597" s="26" t="n"/>
    </row>
    <row r="598" ht="15.75" customHeight="1">
      <c r="C598" s="26" t="n"/>
    </row>
    <row r="599" ht="15.75" customHeight="1">
      <c r="C599" s="26" t="n"/>
    </row>
    <row r="600" ht="15.75" customHeight="1">
      <c r="C600" s="26" t="n"/>
    </row>
    <row r="601" ht="15.75" customHeight="1">
      <c r="C601" s="26" t="n"/>
    </row>
    <row r="602" ht="15.75" customHeight="1">
      <c r="C602" s="26" t="n"/>
    </row>
    <row r="603" ht="15.75" customHeight="1">
      <c r="C603" s="26" t="n"/>
    </row>
    <row r="604" ht="15.75" customHeight="1">
      <c r="C604" s="26" t="n"/>
    </row>
    <row r="605" ht="15.75" customHeight="1">
      <c r="C605" s="26" t="n"/>
    </row>
    <row r="606" ht="15.75" customHeight="1">
      <c r="C606" s="26" t="n"/>
    </row>
    <row r="607" ht="15.75" customHeight="1">
      <c r="C607" s="26" t="n"/>
    </row>
    <row r="608" ht="15.75" customHeight="1">
      <c r="C608" s="26" t="n"/>
    </row>
    <row r="609" ht="15.75" customHeight="1">
      <c r="C609" s="26" t="n"/>
    </row>
    <row r="610" ht="15.75" customHeight="1">
      <c r="C610" s="26" t="n"/>
    </row>
    <row r="611" ht="15.75" customHeight="1">
      <c r="C611" s="26" t="n"/>
    </row>
    <row r="612" ht="15.75" customHeight="1">
      <c r="C612" s="26" t="n"/>
    </row>
    <row r="613" ht="15.75" customHeight="1">
      <c r="C613" s="26" t="n"/>
    </row>
    <row r="614" ht="15.75" customHeight="1">
      <c r="C614" s="26" t="n"/>
    </row>
    <row r="615" ht="15.75" customHeight="1">
      <c r="C615" s="26" t="n"/>
    </row>
    <row r="616" ht="15.75" customHeight="1">
      <c r="C616" s="26" t="n"/>
    </row>
    <row r="617" ht="15.75" customHeight="1">
      <c r="C617" s="26" t="n"/>
    </row>
    <row r="618" ht="15.75" customHeight="1">
      <c r="C618" s="26" t="n"/>
    </row>
    <row r="619" ht="15.75" customHeight="1">
      <c r="C619" s="26" t="n"/>
    </row>
    <row r="620" ht="15.75" customHeight="1">
      <c r="C620" s="26" t="n"/>
    </row>
    <row r="621" ht="15.75" customHeight="1">
      <c r="C621" s="26" t="n"/>
    </row>
    <row r="622" ht="15.75" customHeight="1">
      <c r="C622" s="26" t="n"/>
    </row>
    <row r="623" ht="15.75" customHeight="1">
      <c r="C623" s="26" t="n"/>
    </row>
    <row r="624" ht="15.75" customHeight="1">
      <c r="C624" s="26" t="n"/>
    </row>
    <row r="625" ht="15.75" customHeight="1">
      <c r="C625" s="26" t="n"/>
    </row>
    <row r="626" ht="15.75" customHeight="1">
      <c r="C626" s="26" t="n"/>
    </row>
    <row r="627" ht="15.75" customHeight="1">
      <c r="C627" s="26" t="n"/>
    </row>
    <row r="628" ht="15.75" customHeight="1">
      <c r="C628" s="26" t="n"/>
    </row>
    <row r="629" ht="15.75" customHeight="1">
      <c r="C629" s="26" t="n"/>
    </row>
    <row r="630" ht="15.75" customHeight="1">
      <c r="C630" s="26" t="n"/>
    </row>
    <row r="631" ht="15.75" customHeight="1">
      <c r="C631" s="26" t="n"/>
    </row>
    <row r="632" ht="15.75" customHeight="1">
      <c r="C632" s="26" t="n"/>
    </row>
    <row r="633" ht="15.75" customHeight="1">
      <c r="C633" s="26" t="n"/>
    </row>
    <row r="634" ht="15.75" customHeight="1">
      <c r="C634" s="26" t="n"/>
    </row>
    <row r="635" ht="15.75" customHeight="1">
      <c r="C635" s="26" t="n"/>
    </row>
    <row r="636" ht="15.75" customHeight="1">
      <c r="C636" s="26" t="n"/>
    </row>
    <row r="637" ht="15.75" customHeight="1">
      <c r="C637" s="26" t="n"/>
    </row>
    <row r="638" ht="15.75" customHeight="1">
      <c r="C638" s="26" t="n"/>
    </row>
    <row r="639" ht="15.75" customHeight="1">
      <c r="C639" s="26" t="n"/>
    </row>
    <row r="640" ht="15.75" customHeight="1">
      <c r="C640" s="26" t="n"/>
    </row>
    <row r="641" ht="15.75" customHeight="1">
      <c r="C641" s="26" t="n"/>
    </row>
    <row r="642" ht="15.75" customHeight="1">
      <c r="C642" s="26" t="n"/>
    </row>
    <row r="643" ht="15.75" customHeight="1">
      <c r="C643" s="26" t="n"/>
    </row>
    <row r="644" ht="15.75" customHeight="1">
      <c r="C644" s="26" t="n"/>
    </row>
    <row r="645" ht="15.75" customHeight="1">
      <c r="C645" s="26" t="n"/>
    </row>
    <row r="646" ht="15.75" customHeight="1">
      <c r="C646" s="26" t="n"/>
    </row>
    <row r="647" ht="15.75" customHeight="1">
      <c r="C647" s="26" t="n"/>
    </row>
    <row r="648" ht="15.75" customHeight="1">
      <c r="C648" s="26" t="n"/>
    </row>
    <row r="649" ht="15.75" customHeight="1">
      <c r="C649" s="26" t="n"/>
    </row>
    <row r="650" ht="15.75" customHeight="1">
      <c r="C650" s="26" t="n"/>
    </row>
    <row r="651" ht="15.75" customHeight="1">
      <c r="C651" s="26" t="n"/>
    </row>
    <row r="652" ht="15.75" customHeight="1">
      <c r="C652" s="26" t="n"/>
    </row>
    <row r="653" ht="15.75" customHeight="1">
      <c r="C653" s="26" t="n"/>
    </row>
    <row r="654" ht="15.75" customHeight="1">
      <c r="C654" s="26" t="n"/>
    </row>
    <row r="655" ht="15.75" customHeight="1">
      <c r="C655" s="26" t="n"/>
    </row>
    <row r="656" ht="15.75" customHeight="1">
      <c r="C656" s="26" t="n"/>
    </row>
    <row r="657" ht="15.75" customHeight="1">
      <c r="C657" s="26" t="n"/>
    </row>
    <row r="658" ht="15.75" customHeight="1">
      <c r="C658" s="26" t="n"/>
    </row>
    <row r="659" ht="15.75" customHeight="1">
      <c r="C659" s="26" t="n"/>
    </row>
    <row r="660" ht="15.75" customHeight="1">
      <c r="C660" s="26" t="n"/>
    </row>
    <row r="661" ht="15.75" customHeight="1">
      <c r="C661" s="26" t="n"/>
    </row>
    <row r="662" ht="15.75" customHeight="1">
      <c r="C662" s="26" t="n"/>
    </row>
    <row r="663" ht="15.75" customHeight="1">
      <c r="C663" s="26" t="n"/>
    </row>
    <row r="664" ht="15.75" customHeight="1">
      <c r="C664" s="26" t="n"/>
    </row>
    <row r="665" ht="15.75" customHeight="1">
      <c r="C665" s="26" t="n"/>
    </row>
    <row r="666" ht="15.75" customHeight="1">
      <c r="C666" s="26" t="n"/>
    </row>
    <row r="667" ht="15.75" customHeight="1">
      <c r="C667" s="26" t="n"/>
    </row>
    <row r="668" ht="15.75" customHeight="1">
      <c r="C668" s="26" t="n"/>
    </row>
    <row r="669" ht="15.75" customHeight="1">
      <c r="C669" s="26" t="n"/>
    </row>
    <row r="670" ht="15.75" customHeight="1">
      <c r="C670" s="26" t="n"/>
    </row>
    <row r="671" ht="15.75" customHeight="1">
      <c r="C671" s="26" t="n"/>
    </row>
    <row r="672" ht="15.75" customHeight="1">
      <c r="C672" s="26" t="n"/>
    </row>
    <row r="673" ht="15.75" customHeight="1">
      <c r="C673" s="26" t="n"/>
    </row>
    <row r="674" ht="15.75" customHeight="1">
      <c r="C674" s="26" t="n"/>
    </row>
    <row r="675" ht="15.75" customHeight="1">
      <c r="C675" s="26" t="n"/>
    </row>
    <row r="676" ht="15.75" customHeight="1">
      <c r="C676" s="26" t="n"/>
    </row>
    <row r="677" ht="15.75" customHeight="1">
      <c r="C677" s="26" t="n"/>
    </row>
    <row r="678" ht="15.75" customHeight="1">
      <c r="C678" s="26" t="n"/>
    </row>
    <row r="679" ht="15.75" customHeight="1">
      <c r="C679" s="26" t="n"/>
    </row>
    <row r="680" ht="15.75" customHeight="1">
      <c r="C680" s="26" t="n"/>
    </row>
    <row r="681" ht="15.75" customHeight="1">
      <c r="C681" s="26" t="n"/>
    </row>
    <row r="682" ht="15.75" customHeight="1">
      <c r="C682" s="26" t="n"/>
    </row>
    <row r="683" ht="15.75" customHeight="1">
      <c r="C683" s="26" t="n"/>
    </row>
    <row r="684" ht="15.75" customHeight="1">
      <c r="C684" s="26" t="n"/>
    </row>
    <row r="685" ht="15.75" customHeight="1">
      <c r="C685" s="26" t="n"/>
    </row>
    <row r="686" ht="15.75" customHeight="1">
      <c r="C686" s="26" t="n"/>
    </row>
    <row r="687" ht="15.75" customHeight="1">
      <c r="C687" s="26" t="n"/>
    </row>
    <row r="688" ht="15.75" customHeight="1">
      <c r="C688" s="26" t="n"/>
    </row>
    <row r="689" ht="15.75" customHeight="1">
      <c r="C689" s="26" t="n"/>
    </row>
    <row r="690" ht="15.75" customHeight="1">
      <c r="C690" s="26" t="n"/>
    </row>
    <row r="691" ht="15.75" customHeight="1">
      <c r="C691" s="26" t="n"/>
    </row>
    <row r="692" ht="15.75" customHeight="1">
      <c r="C692" s="26" t="n"/>
    </row>
    <row r="693" ht="15.75" customHeight="1">
      <c r="C693" s="26" t="n"/>
    </row>
    <row r="694" ht="15.75" customHeight="1">
      <c r="C694" s="26" t="n"/>
    </row>
    <row r="695" ht="15.75" customHeight="1">
      <c r="C695" s="26" t="n"/>
    </row>
    <row r="696" ht="15.75" customHeight="1">
      <c r="C696" s="26" t="n"/>
    </row>
    <row r="697" ht="15.75" customHeight="1">
      <c r="C697" s="26" t="n"/>
    </row>
    <row r="698" ht="15.75" customHeight="1">
      <c r="C698" s="26" t="n"/>
    </row>
    <row r="699" ht="15.75" customHeight="1">
      <c r="C699" s="26" t="n"/>
    </row>
    <row r="700" ht="15.75" customHeight="1">
      <c r="C700" s="26" t="n"/>
    </row>
    <row r="701" ht="15.75" customHeight="1">
      <c r="C701" s="26" t="n"/>
    </row>
    <row r="702" ht="15.75" customHeight="1">
      <c r="C702" s="26" t="n"/>
    </row>
    <row r="703" ht="15.75" customHeight="1">
      <c r="C703" s="26" t="n"/>
    </row>
    <row r="704" ht="15.75" customHeight="1">
      <c r="C704" s="26" t="n"/>
    </row>
    <row r="705" ht="15.75" customHeight="1">
      <c r="C705" s="26" t="n"/>
    </row>
    <row r="706" ht="15.75" customHeight="1">
      <c r="C706" s="26" t="n"/>
    </row>
    <row r="707" ht="15.75" customHeight="1">
      <c r="C707" s="26" t="n"/>
    </row>
    <row r="708" ht="15.75" customHeight="1">
      <c r="C708" s="26" t="n"/>
    </row>
    <row r="709" ht="15.75" customHeight="1">
      <c r="C709" s="26" t="n"/>
    </row>
    <row r="710" ht="15.75" customHeight="1">
      <c r="C710" s="26" t="n"/>
    </row>
    <row r="711" ht="15.75" customHeight="1">
      <c r="C711" s="26" t="n"/>
    </row>
    <row r="712" ht="15.75" customHeight="1">
      <c r="C712" s="26" t="n"/>
    </row>
    <row r="713" ht="15.75" customHeight="1">
      <c r="C713" s="26" t="n"/>
    </row>
    <row r="714" ht="15.75" customHeight="1">
      <c r="C714" s="26" t="n"/>
    </row>
    <row r="715" ht="15.75" customHeight="1">
      <c r="C715" s="26" t="n"/>
    </row>
    <row r="716" ht="15.75" customHeight="1">
      <c r="C716" s="26" t="n"/>
    </row>
    <row r="717" ht="15.75" customHeight="1">
      <c r="C717" s="26" t="n"/>
    </row>
    <row r="718" ht="15.75" customHeight="1">
      <c r="C718" s="26" t="n"/>
    </row>
    <row r="719" ht="15.75" customHeight="1">
      <c r="C719" s="26" t="n"/>
    </row>
    <row r="720" ht="15.75" customHeight="1">
      <c r="C720" s="26" t="n"/>
    </row>
    <row r="721" ht="15.75" customHeight="1">
      <c r="C721" s="26" t="n"/>
    </row>
    <row r="722" ht="15.75" customHeight="1">
      <c r="C722" s="26" t="n"/>
    </row>
    <row r="723" ht="15.75" customHeight="1">
      <c r="C723" s="26" t="n"/>
    </row>
    <row r="724" ht="15.75" customHeight="1">
      <c r="C724" s="26" t="n"/>
    </row>
    <row r="725" ht="15.75" customHeight="1">
      <c r="C725" s="26" t="n"/>
    </row>
    <row r="726" ht="15.75" customHeight="1">
      <c r="C726" s="26" t="n"/>
    </row>
    <row r="727" ht="15.75" customHeight="1">
      <c r="C727" s="26" t="n"/>
    </row>
    <row r="728" ht="15.75" customHeight="1">
      <c r="C728" s="26" t="n"/>
    </row>
    <row r="729" ht="15.75" customHeight="1">
      <c r="C729" s="26" t="n"/>
    </row>
    <row r="730" ht="15.75" customHeight="1">
      <c r="C730" s="26" t="n"/>
    </row>
    <row r="731" ht="15.75" customHeight="1">
      <c r="C731" s="26" t="n"/>
    </row>
    <row r="732" ht="15.75" customHeight="1">
      <c r="C732" s="26" t="n"/>
    </row>
    <row r="733" ht="15.75" customHeight="1">
      <c r="C733" s="26" t="n"/>
    </row>
    <row r="734" ht="15.75" customHeight="1">
      <c r="C734" s="26" t="n"/>
    </row>
    <row r="735" ht="15.75" customHeight="1">
      <c r="C735" s="26" t="n"/>
    </row>
    <row r="736" ht="15.75" customHeight="1">
      <c r="C736" s="26" t="n"/>
    </row>
    <row r="737" ht="15.75" customHeight="1">
      <c r="C737" s="26" t="n"/>
    </row>
    <row r="738" ht="15.75" customHeight="1">
      <c r="C738" s="26" t="n"/>
    </row>
    <row r="739" ht="15.75" customHeight="1">
      <c r="C739" s="26" t="n"/>
    </row>
    <row r="740" ht="15.75" customHeight="1">
      <c r="C740" s="26" t="n"/>
    </row>
    <row r="741" ht="15.75" customHeight="1">
      <c r="C741" s="26" t="n"/>
    </row>
    <row r="742" ht="15.75" customHeight="1">
      <c r="C742" s="26" t="n"/>
    </row>
    <row r="743" ht="15.75" customHeight="1">
      <c r="C743" s="26" t="n"/>
    </row>
    <row r="744" ht="15.75" customHeight="1">
      <c r="C744" s="26" t="n"/>
    </row>
    <row r="745" ht="15.75" customHeight="1">
      <c r="C745" s="26" t="n"/>
    </row>
    <row r="746" ht="15.75" customHeight="1">
      <c r="C746" s="26" t="n"/>
    </row>
    <row r="747" ht="15.75" customHeight="1">
      <c r="C747" s="26" t="n"/>
    </row>
    <row r="748" ht="15.75" customHeight="1">
      <c r="C748" s="26" t="n"/>
    </row>
    <row r="749" ht="15.75" customHeight="1">
      <c r="C749" s="26" t="n"/>
    </row>
    <row r="750" ht="15.75" customHeight="1">
      <c r="C750" s="26" t="n"/>
    </row>
    <row r="751" ht="15.75" customHeight="1">
      <c r="C751" s="26" t="n"/>
    </row>
    <row r="752" ht="15.75" customHeight="1">
      <c r="C752" s="26" t="n"/>
    </row>
    <row r="753" ht="15.75" customHeight="1">
      <c r="C753" s="26" t="n"/>
    </row>
    <row r="754" ht="15.75" customHeight="1">
      <c r="C754" s="26" t="n"/>
    </row>
    <row r="755" ht="15.75" customHeight="1">
      <c r="C755" s="26" t="n"/>
    </row>
    <row r="756" ht="15.75" customHeight="1">
      <c r="C756" s="26" t="n"/>
    </row>
    <row r="757" ht="15.75" customHeight="1">
      <c r="C757" s="26" t="n"/>
    </row>
    <row r="758" ht="15.75" customHeight="1">
      <c r="C758" s="26" t="n"/>
    </row>
    <row r="759" ht="15.75" customHeight="1">
      <c r="C759" s="26" t="n"/>
    </row>
    <row r="760" ht="15.75" customHeight="1">
      <c r="C760" s="26" t="n"/>
    </row>
    <row r="761" ht="15.75" customHeight="1">
      <c r="C761" s="26" t="n"/>
    </row>
    <row r="762" ht="15.75" customHeight="1">
      <c r="C762" s="26" t="n"/>
    </row>
    <row r="763" ht="15.75" customHeight="1">
      <c r="C763" s="26" t="n"/>
    </row>
    <row r="764" ht="15.75" customHeight="1">
      <c r="C764" s="26" t="n"/>
    </row>
    <row r="765" ht="15.75" customHeight="1">
      <c r="C765" s="26" t="n"/>
    </row>
    <row r="766" ht="15.75" customHeight="1">
      <c r="C766" s="26" t="n"/>
    </row>
    <row r="767" ht="15.75" customHeight="1">
      <c r="C767" s="26" t="n"/>
    </row>
    <row r="768" ht="15.75" customHeight="1">
      <c r="C768" s="26" t="n"/>
    </row>
    <row r="769" ht="15.75" customHeight="1">
      <c r="C769" s="26" t="n"/>
    </row>
    <row r="770" ht="15.75" customHeight="1">
      <c r="C770" s="26" t="n"/>
    </row>
    <row r="771" ht="15.75" customHeight="1">
      <c r="C771" s="26" t="n"/>
    </row>
    <row r="772" ht="15.75" customHeight="1">
      <c r="C772" s="26" t="n"/>
    </row>
    <row r="773" ht="15.75" customHeight="1">
      <c r="C773" s="26" t="n"/>
    </row>
    <row r="774" ht="15.75" customHeight="1">
      <c r="C774" s="26" t="n"/>
    </row>
    <row r="775" ht="15.75" customHeight="1">
      <c r="C775" s="26" t="n"/>
    </row>
    <row r="776" ht="15.75" customHeight="1">
      <c r="C776" s="26" t="n"/>
    </row>
    <row r="777" ht="15.75" customHeight="1">
      <c r="C777" s="26" t="n"/>
    </row>
    <row r="778" ht="15.75" customHeight="1">
      <c r="C778" s="26" t="n"/>
    </row>
    <row r="779" ht="15.75" customHeight="1">
      <c r="C779" s="26" t="n"/>
    </row>
    <row r="780" ht="15.75" customHeight="1">
      <c r="C780" s="26" t="n"/>
    </row>
    <row r="781" ht="15.75" customHeight="1">
      <c r="C781" s="26" t="n"/>
    </row>
    <row r="782" ht="15.75" customHeight="1">
      <c r="C782" s="26" t="n"/>
    </row>
    <row r="783" ht="15.75" customHeight="1">
      <c r="C783" s="26" t="n"/>
    </row>
    <row r="784" ht="15.75" customHeight="1">
      <c r="C784" s="26" t="n"/>
    </row>
    <row r="785" ht="15.75" customHeight="1">
      <c r="C785" s="26" t="n"/>
    </row>
    <row r="786" ht="15.75" customHeight="1">
      <c r="C786" s="26" t="n"/>
    </row>
    <row r="787" ht="15.75" customHeight="1">
      <c r="C787" s="26" t="n"/>
    </row>
    <row r="788" ht="15.75" customHeight="1">
      <c r="C788" s="26" t="n"/>
    </row>
    <row r="789" ht="15.75" customHeight="1">
      <c r="C789" s="26" t="n"/>
    </row>
    <row r="790" ht="15.75" customHeight="1">
      <c r="C790" s="26" t="n"/>
    </row>
    <row r="791" ht="15.75" customHeight="1">
      <c r="C791" s="26" t="n"/>
    </row>
    <row r="792" ht="15.75" customHeight="1">
      <c r="C792" s="26" t="n"/>
    </row>
    <row r="793" ht="15.75" customHeight="1">
      <c r="C793" s="26" t="n"/>
    </row>
    <row r="794" ht="15.75" customHeight="1">
      <c r="C794" s="26" t="n"/>
    </row>
    <row r="795" ht="15.75" customHeight="1">
      <c r="C795" s="26" t="n"/>
    </row>
    <row r="796" ht="15.75" customHeight="1">
      <c r="C796" s="26" t="n"/>
    </row>
    <row r="797" ht="15.75" customHeight="1">
      <c r="C797" s="26" t="n"/>
    </row>
    <row r="798" ht="15.75" customHeight="1">
      <c r="C798" s="26" t="n"/>
    </row>
    <row r="799" ht="15.75" customHeight="1">
      <c r="C799" s="26" t="n"/>
    </row>
    <row r="800" ht="15.75" customHeight="1">
      <c r="C800" s="26" t="n"/>
    </row>
    <row r="801" ht="15.75" customHeight="1">
      <c r="C801" s="26" t="n"/>
    </row>
    <row r="802" ht="15.75" customHeight="1">
      <c r="C802" s="26" t="n"/>
    </row>
    <row r="803" ht="15.75" customHeight="1">
      <c r="C803" s="26" t="n"/>
    </row>
    <row r="804" ht="15.75" customHeight="1">
      <c r="C804" s="26" t="n"/>
    </row>
    <row r="805" ht="15.75" customHeight="1">
      <c r="C805" s="26" t="n"/>
    </row>
    <row r="806" ht="15.75" customHeight="1">
      <c r="C806" s="26" t="n"/>
    </row>
    <row r="807" ht="15.75" customHeight="1">
      <c r="C807" s="26" t="n"/>
    </row>
    <row r="808" ht="15.75" customHeight="1">
      <c r="C808" s="26" t="n"/>
    </row>
    <row r="809" ht="15.75" customHeight="1">
      <c r="C809" s="26" t="n"/>
    </row>
    <row r="810" ht="15.75" customHeight="1">
      <c r="C810" s="26" t="n"/>
    </row>
    <row r="811" ht="15.75" customHeight="1">
      <c r="C811" s="26" t="n"/>
    </row>
    <row r="812" ht="15.75" customHeight="1">
      <c r="C812" s="26" t="n"/>
    </row>
    <row r="813" ht="15.75" customHeight="1">
      <c r="C813" s="26" t="n"/>
    </row>
    <row r="814" ht="15.75" customHeight="1">
      <c r="C814" s="26" t="n"/>
    </row>
    <row r="815" ht="15.75" customHeight="1">
      <c r="C815" s="26" t="n"/>
    </row>
    <row r="816" ht="15.75" customHeight="1">
      <c r="C816" s="26" t="n"/>
    </row>
    <row r="817" ht="15.75" customHeight="1">
      <c r="C817" s="26" t="n"/>
    </row>
    <row r="818" ht="15.75" customHeight="1">
      <c r="C818" s="26" t="n"/>
    </row>
    <row r="819" ht="15.75" customHeight="1">
      <c r="C819" s="26" t="n"/>
    </row>
    <row r="820" ht="15.75" customHeight="1">
      <c r="C820" s="26" t="n"/>
    </row>
    <row r="821" ht="15.75" customHeight="1">
      <c r="C821" s="26" t="n"/>
    </row>
    <row r="822" ht="15.75" customHeight="1">
      <c r="C822" s="26" t="n"/>
    </row>
    <row r="823" ht="15.75" customHeight="1">
      <c r="C823" s="26" t="n"/>
    </row>
    <row r="824" ht="15.75" customHeight="1">
      <c r="C824" s="26" t="n"/>
    </row>
    <row r="825" ht="15.75" customHeight="1">
      <c r="C825" s="26" t="n"/>
    </row>
    <row r="826" ht="15.75" customHeight="1">
      <c r="C826" s="26" t="n"/>
    </row>
    <row r="827" ht="15.75" customHeight="1">
      <c r="C827" s="26" t="n"/>
    </row>
    <row r="828" ht="15.75" customHeight="1">
      <c r="C828" s="26" t="n"/>
    </row>
    <row r="829" ht="15.75" customHeight="1">
      <c r="C829" s="26" t="n"/>
    </row>
    <row r="830" ht="15.75" customHeight="1">
      <c r="C830" s="26" t="n"/>
    </row>
    <row r="831" ht="15.75" customHeight="1">
      <c r="C831" s="26" t="n"/>
    </row>
    <row r="832" ht="15.75" customHeight="1">
      <c r="C832" s="26" t="n"/>
    </row>
    <row r="833" ht="15.75" customHeight="1">
      <c r="C833" s="26" t="n"/>
    </row>
    <row r="834" ht="15.75" customHeight="1">
      <c r="C834" s="26" t="n"/>
    </row>
    <row r="835" ht="15.75" customHeight="1">
      <c r="C835" s="26" t="n"/>
    </row>
    <row r="836" ht="15.75" customHeight="1">
      <c r="C836" s="26" t="n"/>
    </row>
    <row r="837" ht="15.75" customHeight="1">
      <c r="C837" s="26" t="n"/>
    </row>
    <row r="838" ht="15.75" customHeight="1">
      <c r="C838" s="26" t="n"/>
    </row>
    <row r="839" ht="15.75" customHeight="1">
      <c r="C839" s="26" t="n"/>
    </row>
    <row r="840" ht="15.75" customHeight="1">
      <c r="C840" s="26" t="n"/>
    </row>
    <row r="841" ht="15.75" customHeight="1">
      <c r="C841" s="26" t="n"/>
    </row>
    <row r="842" ht="15.75" customHeight="1">
      <c r="C842" s="26" t="n"/>
    </row>
    <row r="843" ht="15.75" customHeight="1">
      <c r="C843" s="26" t="n"/>
    </row>
    <row r="844" ht="15.75" customHeight="1">
      <c r="C844" s="26" t="n"/>
    </row>
    <row r="845" ht="15.75" customHeight="1">
      <c r="C845" s="26" t="n"/>
    </row>
    <row r="846" ht="15.75" customHeight="1">
      <c r="C846" s="26" t="n"/>
    </row>
    <row r="847" ht="15.75" customHeight="1">
      <c r="C847" s="26" t="n"/>
    </row>
    <row r="848" ht="15.75" customHeight="1">
      <c r="C848" s="26" t="n"/>
    </row>
    <row r="849" ht="15.75" customHeight="1">
      <c r="C849" s="26" t="n"/>
    </row>
    <row r="850" ht="15.75" customHeight="1">
      <c r="C850" s="26" t="n"/>
    </row>
    <row r="851" ht="15.75" customHeight="1">
      <c r="C851" s="26" t="n"/>
    </row>
    <row r="852" ht="15.75" customHeight="1">
      <c r="C852" s="26" t="n"/>
    </row>
    <row r="853" ht="15.75" customHeight="1">
      <c r="C853" s="26" t="n"/>
    </row>
    <row r="854" ht="15.75" customHeight="1">
      <c r="C854" s="26" t="n"/>
    </row>
    <row r="855" ht="15.75" customHeight="1">
      <c r="C855" s="26" t="n"/>
    </row>
    <row r="856" ht="15.75" customHeight="1">
      <c r="C856" s="26" t="n"/>
    </row>
    <row r="857" ht="15.75" customHeight="1">
      <c r="C857" s="26" t="n"/>
    </row>
    <row r="858" ht="15.75" customHeight="1">
      <c r="C858" s="26" t="n"/>
    </row>
    <row r="859" ht="15.75" customHeight="1">
      <c r="C859" s="26" t="n"/>
    </row>
    <row r="860" ht="15.75" customHeight="1">
      <c r="C860" s="26" t="n"/>
    </row>
    <row r="861" ht="15.75" customHeight="1">
      <c r="C861" s="26" t="n"/>
    </row>
    <row r="862" ht="15.75" customHeight="1">
      <c r="C862" s="26" t="n"/>
    </row>
    <row r="863" ht="15.75" customHeight="1">
      <c r="C863" s="26" t="n"/>
    </row>
    <row r="864" ht="15.75" customHeight="1">
      <c r="C864" s="26" t="n"/>
    </row>
    <row r="865" ht="15.75" customHeight="1">
      <c r="C865" s="26" t="n"/>
    </row>
    <row r="866" ht="15.75" customHeight="1">
      <c r="C866" s="26" t="n"/>
    </row>
    <row r="867" ht="15.75" customHeight="1">
      <c r="C867" s="26" t="n"/>
    </row>
    <row r="868" ht="15.75" customHeight="1">
      <c r="C868" s="26" t="n"/>
    </row>
    <row r="869" ht="15.75" customHeight="1">
      <c r="C869" s="26" t="n"/>
    </row>
    <row r="870" ht="15.75" customHeight="1">
      <c r="C870" s="26" t="n"/>
    </row>
    <row r="871" ht="15.75" customHeight="1">
      <c r="C871" s="26" t="n"/>
    </row>
    <row r="872" ht="15.75" customHeight="1">
      <c r="C872" s="26" t="n"/>
    </row>
    <row r="873" ht="15.75" customHeight="1">
      <c r="C873" s="26" t="n"/>
    </row>
    <row r="874" ht="15.75" customHeight="1">
      <c r="C874" s="26" t="n"/>
    </row>
    <row r="875" ht="15.75" customHeight="1">
      <c r="C875" s="26" t="n"/>
    </row>
    <row r="876" ht="15.75" customHeight="1">
      <c r="C876" s="26" t="n"/>
    </row>
    <row r="877" ht="15.75" customHeight="1">
      <c r="C877" s="26" t="n"/>
    </row>
    <row r="878" ht="15.75" customHeight="1">
      <c r="C878" s="26" t="n"/>
    </row>
    <row r="879" ht="15.75" customHeight="1">
      <c r="C879" s="26" t="n"/>
    </row>
    <row r="880" ht="15.75" customHeight="1">
      <c r="C880" s="26" t="n"/>
    </row>
    <row r="881" ht="15.75" customHeight="1">
      <c r="C881" s="26" t="n"/>
    </row>
    <row r="882" ht="15.75" customHeight="1">
      <c r="C882" s="26" t="n"/>
    </row>
    <row r="883" ht="15.75" customHeight="1">
      <c r="C883" s="26" t="n"/>
    </row>
    <row r="884" ht="15.75" customHeight="1">
      <c r="C884" s="26" t="n"/>
    </row>
    <row r="885" ht="15.75" customHeight="1">
      <c r="C885" s="26" t="n"/>
    </row>
    <row r="886" ht="15.75" customHeight="1">
      <c r="C886" s="26" t="n"/>
    </row>
    <row r="887" ht="15.75" customHeight="1">
      <c r="C887" s="26" t="n"/>
    </row>
    <row r="888" ht="15.75" customHeight="1">
      <c r="C888" s="26" t="n"/>
    </row>
    <row r="889" ht="15.75" customHeight="1">
      <c r="C889" s="26" t="n"/>
    </row>
    <row r="890" ht="15.75" customHeight="1">
      <c r="C890" s="26" t="n"/>
    </row>
    <row r="891" ht="15.75" customHeight="1">
      <c r="C891" s="26" t="n"/>
    </row>
    <row r="892" ht="15.75" customHeight="1">
      <c r="C892" s="26" t="n"/>
    </row>
    <row r="893" ht="15.75" customHeight="1">
      <c r="C893" s="26" t="n"/>
    </row>
    <row r="894" ht="15.75" customHeight="1">
      <c r="C894" s="26" t="n"/>
    </row>
    <row r="895" ht="15.75" customHeight="1">
      <c r="C895" s="26" t="n"/>
    </row>
    <row r="896" ht="15.75" customHeight="1">
      <c r="C896" s="26" t="n"/>
    </row>
    <row r="897" ht="15.75" customHeight="1">
      <c r="C897" s="26" t="n"/>
    </row>
    <row r="898" ht="15.75" customHeight="1">
      <c r="C898" s="26" t="n"/>
    </row>
    <row r="899" ht="15.75" customHeight="1">
      <c r="C899" s="26" t="n"/>
    </row>
    <row r="900" ht="15.75" customHeight="1">
      <c r="C900" s="26" t="n"/>
    </row>
    <row r="901" ht="15.75" customHeight="1">
      <c r="C901" s="26" t="n"/>
    </row>
    <row r="902" ht="15.75" customHeight="1">
      <c r="C902" s="26" t="n"/>
    </row>
    <row r="903" ht="15.75" customHeight="1">
      <c r="C903" s="26" t="n"/>
    </row>
    <row r="904" ht="15.75" customHeight="1">
      <c r="C904" s="26" t="n"/>
    </row>
    <row r="905" ht="15.75" customHeight="1">
      <c r="C905" s="26" t="n"/>
    </row>
    <row r="906" ht="15.75" customHeight="1">
      <c r="C906" s="26" t="n"/>
    </row>
    <row r="907" ht="15.75" customHeight="1">
      <c r="C907" s="26" t="n"/>
    </row>
    <row r="908" ht="15.75" customHeight="1">
      <c r="C908" s="26" t="n"/>
    </row>
    <row r="909" ht="15.75" customHeight="1">
      <c r="C909" s="26" t="n"/>
    </row>
    <row r="910" ht="15.75" customHeight="1">
      <c r="C910" s="26" t="n"/>
    </row>
    <row r="911" ht="15.75" customHeight="1">
      <c r="C911" s="26" t="n"/>
    </row>
    <row r="912" ht="15.75" customHeight="1">
      <c r="C912" s="26" t="n"/>
    </row>
    <row r="913" ht="15.75" customHeight="1">
      <c r="C913" s="26" t="n"/>
    </row>
    <row r="914" ht="15.75" customHeight="1">
      <c r="C914" s="26" t="n"/>
    </row>
    <row r="915" ht="15.75" customHeight="1">
      <c r="C915" s="26" t="n"/>
    </row>
    <row r="916" ht="15.75" customHeight="1">
      <c r="C916" s="26" t="n"/>
    </row>
    <row r="917" ht="15.75" customHeight="1">
      <c r="C917" s="26" t="n"/>
    </row>
    <row r="918" ht="15.75" customHeight="1">
      <c r="C918" s="26" t="n"/>
    </row>
    <row r="919" ht="15.75" customHeight="1">
      <c r="C919" s="26" t="n"/>
    </row>
    <row r="920" ht="15.75" customHeight="1">
      <c r="C920" s="26" t="n"/>
    </row>
    <row r="921" ht="15.75" customHeight="1">
      <c r="C921" s="26" t="n"/>
    </row>
    <row r="922" ht="15.75" customHeight="1">
      <c r="C922" s="26" t="n"/>
    </row>
    <row r="923" ht="15.75" customHeight="1">
      <c r="C923" s="26" t="n"/>
    </row>
    <row r="924" ht="15.75" customHeight="1">
      <c r="C924" s="26" t="n"/>
    </row>
    <row r="925" ht="15.75" customHeight="1">
      <c r="C925" s="26" t="n"/>
    </row>
    <row r="926" ht="15.75" customHeight="1">
      <c r="C926" s="26" t="n"/>
    </row>
    <row r="927" ht="15.75" customHeight="1">
      <c r="C927" s="26" t="n"/>
    </row>
    <row r="928" ht="15.75" customHeight="1">
      <c r="C928" s="26" t="n"/>
    </row>
    <row r="929" ht="15.75" customHeight="1">
      <c r="C929" s="26" t="n"/>
    </row>
    <row r="930" ht="15.75" customHeight="1">
      <c r="C930" s="26" t="n"/>
    </row>
    <row r="931" ht="15.75" customHeight="1">
      <c r="C931" s="26" t="n"/>
    </row>
    <row r="932" ht="15.75" customHeight="1">
      <c r="C932" s="26" t="n"/>
    </row>
    <row r="933" ht="15.75" customHeight="1">
      <c r="C933" s="26" t="n"/>
    </row>
    <row r="934" ht="15.75" customHeight="1">
      <c r="C934" s="26" t="n"/>
    </row>
    <row r="935" ht="15.75" customHeight="1">
      <c r="C935" s="26" t="n"/>
    </row>
    <row r="936" ht="15.75" customHeight="1">
      <c r="C936" s="26" t="n"/>
    </row>
    <row r="937" ht="15.75" customHeight="1">
      <c r="C937" s="26" t="n"/>
    </row>
    <row r="938" ht="15.75" customHeight="1">
      <c r="C938" s="26" t="n"/>
    </row>
    <row r="939" ht="15.75" customHeight="1">
      <c r="C939" s="26" t="n"/>
    </row>
    <row r="940" ht="15.75" customHeight="1">
      <c r="C940" s="26" t="n"/>
    </row>
    <row r="941" ht="15.75" customHeight="1">
      <c r="C941" s="26" t="n"/>
    </row>
    <row r="942" ht="15.75" customHeight="1">
      <c r="C942" s="26" t="n"/>
    </row>
    <row r="943" ht="15.75" customHeight="1">
      <c r="C943" s="26" t="n"/>
    </row>
    <row r="944" ht="15.75" customHeight="1">
      <c r="C944" s="26" t="n"/>
    </row>
    <row r="945" ht="15.75" customHeight="1">
      <c r="C945" s="26" t="n"/>
    </row>
    <row r="946" ht="15.75" customHeight="1">
      <c r="C946" s="26" t="n"/>
    </row>
    <row r="947" ht="15.75" customHeight="1">
      <c r="C947" s="26" t="n"/>
    </row>
    <row r="948" ht="15.75" customHeight="1">
      <c r="C948" s="26" t="n"/>
    </row>
    <row r="949" ht="15.75" customHeight="1">
      <c r="C949" s="26" t="n"/>
    </row>
    <row r="950" ht="15.75" customHeight="1">
      <c r="C950" s="26" t="n"/>
    </row>
    <row r="951" ht="15.75" customHeight="1">
      <c r="C951" s="26" t="n"/>
    </row>
    <row r="952" ht="15.75" customHeight="1">
      <c r="C952" s="26" t="n"/>
    </row>
    <row r="953" ht="15.75" customHeight="1">
      <c r="C953" s="26" t="n"/>
    </row>
    <row r="954" ht="15.75" customHeight="1">
      <c r="C954" s="26" t="n"/>
    </row>
    <row r="955" ht="15.75" customHeight="1">
      <c r="C955" s="26" t="n"/>
    </row>
    <row r="956" ht="15.75" customHeight="1">
      <c r="C956" s="26" t="n"/>
    </row>
    <row r="957" ht="15.75" customHeight="1">
      <c r="C957" s="26" t="n"/>
    </row>
    <row r="958" ht="15.75" customHeight="1">
      <c r="C958" s="26" t="n"/>
    </row>
    <row r="959" ht="15.75" customHeight="1">
      <c r="C959" s="26" t="n"/>
    </row>
    <row r="960" ht="15.75" customHeight="1">
      <c r="C960" s="26" t="n"/>
    </row>
    <row r="961" ht="15.75" customHeight="1">
      <c r="C961" s="26" t="n"/>
    </row>
    <row r="962" ht="15.75" customHeight="1">
      <c r="C962" s="26" t="n"/>
    </row>
    <row r="963" ht="15.75" customHeight="1">
      <c r="C963" s="26" t="n"/>
    </row>
    <row r="964" ht="15.75" customHeight="1">
      <c r="C964" s="26" t="n"/>
    </row>
    <row r="965" ht="15.75" customHeight="1">
      <c r="C965" s="26" t="n"/>
    </row>
    <row r="966" ht="15.75" customHeight="1">
      <c r="C966" s="26" t="n"/>
    </row>
    <row r="967" ht="15.75" customHeight="1">
      <c r="C967" s="26" t="n"/>
    </row>
    <row r="968" ht="15.75" customHeight="1">
      <c r="C968" s="26" t="n"/>
    </row>
    <row r="969" ht="15.75" customHeight="1">
      <c r="C969" s="26" t="n"/>
    </row>
    <row r="970" ht="15.75" customHeight="1">
      <c r="C970" s="26" t="n"/>
    </row>
    <row r="971" ht="15.75" customHeight="1">
      <c r="C971" s="26" t="n"/>
    </row>
    <row r="972" ht="15.75" customHeight="1">
      <c r="C972" s="26" t="n"/>
    </row>
    <row r="973" ht="15.75" customHeight="1">
      <c r="C973" s="26" t="n"/>
    </row>
    <row r="974" ht="15.75" customHeight="1">
      <c r="C974" s="26" t="n"/>
    </row>
    <row r="975" ht="15.75" customHeight="1">
      <c r="C975" s="26" t="n"/>
    </row>
    <row r="976" ht="15.75" customHeight="1">
      <c r="C976" s="26" t="n"/>
    </row>
    <row r="977" ht="15.75" customHeight="1">
      <c r="C977" s="26" t="n"/>
    </row>
    <row r="978" ht="15.75" customHeight="1">
      <c r="C978" s="26" t="n"/>
    </row>
    <row r="979" ht="15.75" customHeight="1">
      <c r="C979" s="26" t="n"/>
    </row>
    <row r="980" ht="15.75" customHeight="1">
      <c r="C980" s="26" t="n"/>
    </row>
    <row r="981" ht="15.75" customHeight="1">
      <c r="C981" s="26" t="n"/>
    </row>
    <row r="982" ht="15.75" customHeight="1">
      <c r="C982" s="26" t="n"/>
    </row>
    <row r="983" ht="15.75" customHeight="1">
      <c r="C983" s="26" t="n"/>
    </row>
    <row r="984" ht="15.75" customHeight="1">
      <c r="C984" s="26" t="n"/>
    </row>
    <row r="985" ht="15.75" customHeight="1">
      <c r="C985" s="26" t="n"/>
    </row>
    <row r="986" ht="15.75" customHeight="1">
      <c r="C986" s="26" t="n"/>
    </row>
    <row r="987" ht="15.75" customHeight="1">
      <c r="C987" s="26" t="n"/>
    </row>
    <row r="988" ht="15.75" customHeight="1">
      <c r="C988" s="26" t="n"/>
    </row>
    <row r="989" ht="15.75" customHeight="1">
      <c r="C989" s="26" t="n"/>
    </row>
    <row r="990" ht="15.75" customHeight="1">
      <c r="C990" s="26" t="n"/>
    </row>
    <row r="991" ht="15.75" customHeight="1">
      <c r="C991" s="26" t="n"/>
    </row>
    <row r="992" ht="15.75" customHeight="1">
      <c r="C992" s="26" t="n"/>
    </row>
    <row r="993" ht="15.75" customHeight="1">
      <c r="C993" s="26" t="n"/>
    </row>
    <row r="994" ht="15.75" customHeight="1">
      <c r="C994" s="26" t="n"/>
    </row>
    <row r="995" ht="15.75" customHeight="1">
      <c r="C995" s="26" t="n"/>
    </row>
    <row r="996" ht="15.75" customHeight="1">
      <c r="C996" s="26" t="n"/>
    </row>
    <row r="997" ht="15.75" customHeight="1">
      <c r="C997" s="26" t="n"/>
    </row>
    <row r="998" ht="15.75" customHeight="1">
      <c r="C998" s="26" t="n"/>
    </row>
    <row r="999" ht="15.75" customHeight="1">
      <c r="C999" s="26" t="n"/>
    </row>
    <row r="1000" ht="15.75" customHeight="1">
      <c r="C1000" s="26" t="n"/>
    </row>
  </sheetData>
  <mergeCells count="6">
    <mergeCell ref="F2:G2"/>
    <mergeCell ref="M2:N2"/>
    <mergeCell ref="O2:P2"/>
    <mergeCell ref="D2:E2"/>
    <mergeCell ref="K2:L2"/>
    <mergeCell ref="I2:J2"/>
  </mergeCells>
  <pageMargins left="0.1038857062906623" right="0.03942317392389337" top="0.1269714187996984" bottom="0.1500571313087345" header="0" footer="0"/>
  <pageSetup orientation="landscape" paperSize="9" scale="5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user3</dc:creator>
  <dcterms:created xmlns:dcterms="http://purl.org/dc/terms/" xmlns:xsi="http://www.w3.org/2001/XMLSchema-instance" xsi:type="dcterms:W3CDTF">2026-02-20T04:49:45Z</dcterms:created>
  <dcterms:modified xmlns:dcterms="http://purl.org/dc/terms/" xmlns:xsi="http://www.w3.org/2001/XMLSchema-instance" xsi:type="dcterms:W3CDTF">2026-02-20T05:51:57Z</dcterms:modified>
  <cp:lastModifiedBy>user3</cp:lastModifiedBy>
  <cp:lastPrinted>2026-02-20T04:50:19Z</cp:lastPrinted>
</cp:coreProperties>
</file>